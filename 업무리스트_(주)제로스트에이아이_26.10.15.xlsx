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업무리스트" sheetId="1" state="visible" r:id="rId3"/>
    <sheet name="채용·입사 프로세스" sheetId="2" state="visible" r:id="rId4"/>
    <sheet name="이사·법인등기 프로세스" sheetId="3" state="visible" r:id="rId5"/>
    <sheet name="요약" sheetId="4" state="visible" r:id="rId6"/>
    <sheet name="분류 목록" sheetId="5" state="visible" r:id="rId7"/>
  </sheets>
  <definedNames>
    <definedName function="false" hidden="false" localSheetId="0" name="_xlnm.Print_Titles" vbProcedure="false">업무리스트!$7:$7</definedName>
    <definedName function="false" hidden="true" localSheetId="0" name="_xlnm._FilterDatabase" vbProcedure="false">업무리스트!$B$7:$M$113</definedName>
    <definedName function="false" hidden="false" localSheetId="2" name="_xlnm.Print_Titles" vbProcedure="false">'이사·법인등기 프로세스'!$4:$4</definedName>
    <definedName function="false" hidden="true" localSheetId="2" name="_xlnm._FilterDatabase" vbProcedure="false">'이사·법인등기 프로세스'!$B$4:$M$21</definedName>
    <definedName function="false" hidden="false" localSheetId="1" name="_xlnm.Print_Titles" vbProcedure="false">'채용·입사 프로세스'!$4:$4</definedName>
    <definedName function="false" hidden="true" localSheetId="1" name="_xlnm._FilterDatabase" vbProcedure="false">'채용·입사 프로세스'!$B$4:$M$20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<sst xmlns="http://schemas.openxmlformats.org/spreadsheetml/2006/main" count="921" uniqueCount="522">
  <si>
    <t xml:space="preserve">업무리스트</t>
  </si>
  <si>
    <r>
      <rPr>
        <sz val="10"/>
        <color rgb="FF595959"/>
        <rFont val="WenQuanYi Zen Hei"/>
        <family val="2"/>
      </rPr>
      <t xml:space="preserve">원본</t>
    </r>
    <r>
      <rPr>
        <sz val="10"/>
        <color rgb="FF595959"/>
        <rFont val="맑은 고딕"/>
        <family val="0"/>
        <charset val="1"/>
      </rPr>
      <t xml:space="preserve">: '</t>
    </r>
    <r>
      <rPr>
        <sz val="10"/>
        <color rgb="FF595959"/>
        <rFont val="WenQuanYi Zen Hei"/>
        <family val="2"/>
      </rPr>
      <t xml:space="preserve">루틴 업무 설명</t>
    </r>
    <r>
      <rPr>
        <sz val="10"/>
        <color rgb="FF595959"/>
        <rFont val="맑은 고딕"/>
        <family val="0"/>
        <charset val="1"/>
      </rPr>
      <t xml:space="preserve">_26.01 </t>
    </r>
    <r>
      <rPr>
        <sz val="10"/>
        <color rgb="FF595959"/>
        <rFont val="WenQuanYi Zen Hei"/>
        <family val="2"/>
      </rPr>
      <t xml:space="preserve">이후</t>
    </r>
    <r>
      <rPr>
        <sz val="10"/>
        <color rgb="FF595959"/>
        <rFont val="맑은 고딕"/>
        <family val="0"/>
        <charset val="1"/>
      </rPr>
      <t xml:space="preserve">' </t>
    </r>
    <r>
      <rPr>
        <sz val="10"/>
        <color rgb="FF595959"/>
        <rFont val="WenQuanYi Zen Hei"/>
        <family val="2"/>
      </rPr>
      <t xml:space="preserve">시트 전체</t>
    </r>
    <r>
      <rPr>
        <sz val="10"/>
        <color rgb="FF595959"/>
        <rFont val="맑은 고딕"/>
        <family val="0"/>
        <charset val="1"/>
      </rPr>
      <t xml:space="preserve">(93</t>
    </r>
    <r>
      <rPr>
        <sz val="10"/>
        <color rgb="FF595959"/>
        <rFont val="WenQuanYi Zen Hei"/>
        <family val="2"/>
      </rPr>
      <t xml:space="preserve">건</t>
    </r>
    <r>
      <rPr>
        <sz val="10"/>
        <color rgb="FF595959"/>
        <rFont val="맑은 고딕"/>
        <family val="0"/>
        <charset val="1"/>
      </rPr>
      <t xml:space="preserve">) + '</t>
    </r>
    <r>
      <rPr>
        <sz val="10"/>
        <color rgb="FF595959"/>
        <rFont val="WenQuanYi Zen Hei"/>
        <family val="2"/>
      </rPr>
      <t xml:space="preserve">업무 설명</t>
    </r>
    <r>
      <rPr>
        <sz val="10"/>
        <color rgb="FF595959"/>
        <rFont val="맑은 고딕"/>
        <family val="0"/>
        <charset val="1"/>
      </rPr>
      <t xml:space="preserve">_26.01 </t>
    </r>
    <r>
      <rPr>
        <sz val="10"/>
        <color rgb="FF595959"/>
        <rFont val="WenQuanYi Zen Hei"/>
        <family val="2"/>
      </rPr>
      <t xml:space="preserve">이전</t>
    </r>
    <r>
      <rPr>
        <sz val="10"/>
        <color rgb="FF595959"/>
        <rFont val="맑은 고딕"/>
        <family val="0"/>
        <charset val="1"/>
      </rPr>
      <t xml:space="preserve">' </t>
    </r>
    <r>
      <rPr>
        <sz val="10"/>
        <color rgb="FF595959"/>
        <rFont val="WenQuanYi Zen Hei"/>
        <family val="2"/>
      </rPr>
      <t xml:space="preserve">시트 중 중복되지 않는 항목</t>
    </r>
    <r>
      <rPr>
        <sz val="10"/>
        <color rgb="FF595959"/>
        <rFont val="맑은 고딕"/>
        <family val="0"/>
        <charset val="1"/>
      </rPr>
      <t xml:space="preserve">(13</t>
    </r>
    <r>
      <rPr>
        <sz val="10"/>
        <color rgb="FF595959"/>
        <rFont val="WenQuanYi Zen Hei"/>
        <family val="2"/>
      </rPr>
      <t xml:space="preserve">건</t>
    </r>
    <r>
      <rPr>
        <sz val="10"/>
        <color rgb="FF595959"/>
        <rFont val="맑은 고딕"/>
        <family val="0"/>
        <charset val="1"/>
      </rPr>
      <t xml:space="preserve">). </t>
    </r>
    <r>
      <rPr>
        <sz val="10"/>
        <color rgb="FF595959"/>
        <rFont val="WenQuanYi Zen Hei"/>
        <family val="2"/>
      </rPr>
      <t xml:space="preserve">채용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입사 </t>
    </r>
    <r>
      <rPr>
        <sz val="10"/>
        <color rgb="FF595959"/>
        <rFont val="맑은 고딕"/>
        <family val="0"/>
        <charset val="1"/>
      </rPr>
      <t xml:space="preserve">/ </t>
    </r>
    <r>
      <rPr>
        <sz val="10"/>
        <color rgb="FF595959"/>
        <rFont val="WenQuanYi Zen Hei"/>
        <family val="2"/>
      </rPr>
      <t xml:space="preserve">이사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법인등기 프로세스는 별도 시트 참고</t>
    </r>
    <r>
      <rPr>
        <sz val="10"/>
        <color rgb="FF595959"/>
        <rFont val="맑은 고딕"/>
        <family val="0"/>
        <charset val="1"/>
      </rPr>
      <t xml:space="preserve">.</t>
    </r>
  </si>
  <si>
    <r>
      <rPr>
        <sz val="10"/>
        <color rgb="FF595959"/>
        <rFont val="WenQuanYi Zen Hei"/>
        <family val="2"/>
      </rPr>
      <t xml:space="preserve">예상 소요시간</t>
    </r>
    <r>
      <rPr>
        <sz val="10"/>
        <color rgb="FF595959"/>
        <rFont val="맑은 고딕"/>
        <family val="0"/>
        <charset val="1"/>
      </rPr>
      <t xml:space="preserve">: </t>
    </r>
    <r>
      <rPr>
        <sz val="10"/>
        <color rgb="FF595959"/>
        <rFont val="WenQuanYi Zen Hei"/>
        <family val="2"/>
      </rPr>
      <t xml:space="preserve">업무 내용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빈도를 기준으로 </t>
    </r>
    <r>
      <rPr>
        <sz val="10"/>
        <color rgb="FF595959"/>
        <rFont val="맑은 고딕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회 수행 시 담당자 </t>
    </r>
    <r>
      <rPr>
        <sz val="10"/>
        <color rgb="FF595959"/>
        <rFont val="맑은 고딕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인의 작업 시간을 추정한 값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노란 칸</t>
    </r>
    <r>
      <rPr>
        <sz val="10"/>
        <color rgb="FF595959"/>
        <rFont val="맑은 고딕"/>
        <family val="0"/>
        <charset val="1"/>
      </rPr>
      <t xml:space="preserve">). </t>
    </r>
    <r>
      <rPr>
        <sz val="10"/>
        <color rgb="FF595959"/>
        <rFont val="WenQuanYi Zen Hei"/>
        <family val="2"/>
      </rPr>
      <t xml:space="preserve">외부 처리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대기 기간은 제외했으며 실제 수행 후 조정 필요</t>
    </r>
    <r>
      <rPr>
        <sz val="10"/>
        <color rgb="FF595959"/>
        <rFont val="맑은 고딕"/>
        <family val="0"/>
        <charset val="1"/>
      </rPr>
      <t xml:space="preserve">.</t>
    </r>
  </si>
  <si>
    <r>
      <rPr>
        <sz val="10"/>
        <color rgb="FF595959"/>
        <rFont val="WenQuanYi Zen Hei"/>
        <family val="2"/>
      </rPr>
      <t xml:space="preserve">업무 진행상태 </t>
    </r>
    <r>
      <rPr>
        <sz val="10"/>
        <color rgb="FF595959"/>
        <rFont val="맑은 고딕"/>
        <family val="0"/>
        <charset val="1"/>
      </rPr>
      <t xml:space="preserve">/ </t>
    </r>
    <r>
      <rPr>
        <sz val="10"/>
        <color rgb="FF595959"/>
        <rFont val="WenQuanYi Zen Hei"/>
        <family val="2"/>
      </rPr>
      <t xml:space="preserve">중요도 </t>
    </r>
    <r>
      <rPr>
        <sz val="10"/>
        <color rgb="FF595959"/>
        <rFont val="맑은 고딕"/>
        <family val="0"/>
        <charset val="1"/>
      </rPr>
      <t xml:space="preserve">/ </t>
    </r>
    <r>
      <rPr>
        <sz val="10"/>
        <color rgb="FF595959"/>
        <rFont val="WenQuanYi Zen Hei"/>
        <family val="2"/>
      </rPr>
      <t xml:space="preserve">업무 분야 </t>
    </r>
    <r>
      <rPr>
        <sz val="10"/>
        <color rgb="FF595959"/>
        <rFont val="맑은 고딕"/>
        <family val="0"/>
        <charset val="1"/>
      </rPr>
      <t xml:space="preserve">/ </t>
    </r>
    <r>
      <rPr>
        <sz val="10"/>
        <color rgb="FF595959"/>
        <rFont val="WenQuanYi Zen Hei"/>
        <family val="2"/>
      </rPr>
      <t xml:space="preserve">빈도는 드롭다운으로 선택 가능 </t>
    </r>
    <r>
      <rPr>
        <sz val="10"/>
        <color rgb="FF595959"/>
        <rFont val="맑은 고딕"/>
        <family val="0"/>
        <charset val="1"/>
      </rPr>
      <t xml:space="preserve">('</t>
    </r>
    <r>
      <rPr>
        <sz val="10"/>
        <color rgb="FF595959"/>
        <rFont val="WenQuanYi Zen Hei"/>
        <family val="2"/>
      </rPr>
      <t xml:space="preserve">분류 목록</t>
    </r>
    <r>
      <rPr>
        <sz val="10"/>
        <color rgb="FF595959"/>
        <rFont val="맑은 고딕"/>
        <family val="0"/>
        <charset val="1"/>
      </rPr>
      <t xml:space="preserve">' </t>
    </r>
    <r>
      <rPr>
        <sz val="10"/>
        <color rgb="FF595959"/>
        <rFont val="WenQuanYi Zen Hei"/>
        <family val="2"/>
      </rPr>
      <t xml:space="preserve">시트에서 항목 수정</t>
    </r>
    <r>
      <rPr>
        <sz val="10"/>
        <color rgb="FF595959"/>
        <rFont val="맑은 고딕"/>
        <family val="0"/>
        <charset val="1"/>
      </rPr>
      <t xml:space="preserve">). </t>
    </r>
    <r>
      <rPr>
        <sz val="10"/>
        <color rgb="FF595959"/>
        <rFont val="WenQuanYi Zen Hei"/>
        <family val="2"/>
      </rPr>
      <t xml:space="preserve">시작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마감 날짜는 </t>
    </r>
    <r>
      <rPr>
        <sz val="10"/>
        <color rgb="FF595959"/>
        <rFont val="맑은 고딕"/>
        <family val="0"/>
        <charset val="1"/>
      </rPr>
      <t xml:space="preserve">yyyy-mm-dd </t>
    </r>
    <r>
      <rPr>
        <sz val="10"/>
        <color rgb="FF595959"/>
        <rFont val="WenQuanYi Zen Hei"/>
        <family val="2"/>
      </rPr>
      <t xml:space="preserve">형식</t>
    </r>
    <r>
      <rPr>
        <sz val="10"/>
        <color rgb="FF595959"/>
        <rFont val="맑은 고딕"/>
        <family val="0"/>
        <charset val="1"/>
      </rPr>
      <t xml:space="preserve">.</t>
    </r>
  </si>
  <si>
    <r>
      <rPr>
        <sz val="10"/>
        <color rgb="FF595959"/>
        <rFont val="WenQuanYi Zen Hei"/>
        <family val="2"/>
      </rPr>
      <t xml:space="preserve">비고 </t>
    </r>
    <r>
      <rPr>
        <sz val="10"/>
        <color rgb="FF595959"/>
        <rFont val="맑은 고딕"/>
        <family val="0"/>
        <charset val="1"/>
      </rPr>
      <t xml:space="preserve">= </t>
    </r>
    <r>
      <rPr>
        <sz val="10"/>
        <color rgb="FF595959"/>
        <rFont val="WenQuanYi Zen Hei"/>
        <family val="2"/>
      </rPr>
      <t xml:space="preserve">수행일자 </t>
    </r>
    <r>
      <rPr>
        <sz val="10"/>
        <color rgb="FF595959"/>
        <rFont val="맑은 고딕"/>
        <family val="0"/>
        <charset val="1"/>
      </rPr>
      <t xml:space="preserve">+ </t>
    </r>
    <r>
      <rPr>
        <sz val="10"/>
        <color rgb="FF595959"/>
        <rFont val="WenQuanYi Zen Hei"/>
        <family val="2"/>
      </rPr>
      <t xml:space="preserve">원본의 변경 사항</t>
    </r>
    <r>
      <rPr>
        <sz val="10"/>
        <color rgb="FF595959"/>
        <rFont val="맑은 고딕"/>
        <family val="0"/>
        <charset val="1"/>
      </rPr>
      <t xml:space="preserve">/</t>
    </r>
    <r>
      <rPr>
        <sz val="10"/>
        <color rgb="FF595959"/>
        <rFont val="WenQuanYi Zen Hei"/>
        <family val="2"/>
      </rPr>
      <t xml:space="preserve">비고</t>
    </r>
    <r>
      <rPr>
        <sz val="10"/>
        <color rgb="FF595959"/>
        <rFont val="맑은 고딕"/>
        <family val="0"/>
        <charset val="1"/>
      </rPr>
      <t xml:space="preserve">, </t>
    </r>
    <r>
      <rPr>
        <sz val="10"/>
        <color rgb="FF595959"/>
        <rFont val="WenQuanYi Zen Hei"/>
        <family val="2"/>
      </rPr>
      <t xml:space="preserve">메모 </t>
    </r>
    <r>
      <rPr>
        <sz val="10"/>
        <color rgb="FF595959"/>
        <rFont val="맑은 고딕"/>
        <family val="0"/>
        <charset val="1"/>
      </rPr>
      <t xml:space="preserve">= </t>
    </r>
    <r>
      <rPr>
        <sz val="10"/>
        <color rgb="FF595959"/>
        <rFont val="WenQuanYi Zen Hei"/>
        <family val="2"/>
      </rPr>
      <t xml:space="preserve">원본의 참고 문서 위치</t>
    </r>
    <r>
      <rPr>
        <sz val="10"/>
        <color rgb="FF595959"/>
        <rFont val="맑은 고딕"/>
        <family val="0"/>
        <charset val="1"/>
      </rPr>
      <t xml:space="preserve">.</t>
    </r>
  </si>
  <si>
    <t xml:space="preserve">업무 분야</t>
  </si>
  <si>
    <t xml:space="preserve">업무 빈도 구분</t>
  </si>
  <si>
    <t xml:space="preserve">업무명</t>
  </si>
  <si>
    <t xml:space="preserve">업무 내용</t>
  </si>
  <si>
    <t xml:space="preserve">예상 소요시간</t>
  </si>
  <si>
    <t xml:space="preserve">업무 진행상태</t>
  </si>
  <si>
    <r>
      <rPr>
        <b val="true"/>
        <sz val="11"/>
        <rFont val="WenQuanYi Zen Hei"/>
        <family val="2"/>
      </rPr>
      <t xml:space="preserve">진행 중 </t>
    </r>
    <r>
      <rPr>
        <b val="true"/>
        <sz val="11"/>
        <rFont val="맑은 고딕"/>
        <family val="0"/>
        <charset val="1"/>
      </rPr>
      <t xml:space="preserve">/ </t>
    </r>
    <r>
      <rPr>
        <b val="true"/>
        <sz val="11"/>
        <rFont val="WenQuanYi Zen Hei"/>
        <family val="2"/>
      </rPr>
      <t xml:space="preserve">결과</t>
    </r>
  </si>
  <si>
    <t xml:space="preserve">시작 날짜</t>
  </si>
  <si>
    <t xml:space="preserve">마감 날짜</t>
  </si>
  <si>
    <t xml:space="preserve">중요도</t>
  </si>
  <si>
    <t xml:space="preserve">비고</t>
  </si>
  <si>
    <t xml:space="preserve">메모</t>
  </si>
  <si>
    <t xml:space="preserve">경영지원</t>
  </si>
  <si>
    <t xml:space="preserve">비정기</t>
  </si>
  <si>
    <r>
      <rPr>
        <sz val="10"/>
        <rFont val="WenQuanYi Zen Hei"/>
        <family val="2"/>
      </rPr>
      <t xml:space="preserve">사무실 외부 고객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방문자 응대 및 안내</t>
    </r>
  </si>
  <si>
    <t xml:space="preserve">대표님 요청 시 회의실 안내 및 음료 제공</t>
  </si>
  <si>
    <r>
      <rPr>
        <sz val="10"/>
        <rFont val="맑은 고딕"/>
        <family val="0"/>
        <charset val="1"/>
      </rPr>
      <t xml:space="preserve">20~30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회</t>
    </r>
  </si>
  <si>
    <t xml:space="preserve">법인 서류 업로드 및 관리</t>
  </si>
  <si>
    <r>
      <rPr>
        <sz val="10"/>
        <rFont val="WenQuanYi Zen Hei"/>
        <family val="2"/>
      </rPr>
      <t xml:space="preserve">사업자등록증
등기부등본
통장사본 등 업데이트된 부분이 있으면 채널에 맞춰 파일 업로드
소프트웨어사업자 확인증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기한은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유효기간은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개월 단위라 유의</t>
    </r>
  </si>
  <si>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회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</si>
  <si>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경영지원 채널 서류 분류 관련</t>
    </r>
  </si>
  <si>
    <t xml:space="preserve">보험증권 가입</t>
  </si>
  <si>
    <r>
      <rPr>
        <sz val="10"/>
        <rFont val="WenQuanYi Zen Hei"/>
        <family val="2"/>
      </rPr>
      <t xml:space="preserve">대표님 요청 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매뉴얼 참고해서 발급
서울보증보험 담당자에게 문의하고 메일로 관련 서류 발송
</t>
    </r>
    <r>
      <rPr>
        <sz val="10"/>
        <rFont val="맑은 고딕"/>
        <family val="0"/>
        <charset val="1"/>
      </rPr>
      <t xml:space="preserve">-&gt; sgi </t>
    </r>
    <r>
      <rPr>
        <sz val="10"/>
        <rFont val="WenQuanYi Zen Hei"/>
        <family val="2"/>
      </rPr>
      <t xml:space="preserve">사이트에 들어가면 승인 내역이 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해당 내용 확인하고 보험료 결제하면 사이트 내에서 발급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메일로 서류 확인 가능</t>
    </r>
  </si>
  <si>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건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담당자 회신 대기 별도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</si>
  <si>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보증보험증권 가입 메뉴얼</t>
    </r>
    <r>
      <rPr>
        <sz val="10"/>
        <rFont val="맑은 고딕"/>
        <family val="0"/>
        <charset val="1"/>
      </rPr>
      <t xml:space="preserve">_24.09.04.xlsx</t>
    </r>
  </si>
  <si>
    <r>
      <rPr>
        <sz val="10"/>
        <rFont val="WenQuanYi Zen Hei"/>
        <family val="2"/>
      </rPr>
      <t xml:space="preserve">이사 및 인원 변경 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법인 등기 임원 변경</t>
    </r>
  </si>
  <si>
    <r>
      <rPr>
        <sz val="10"/>
        <rFont val="WenQuanYi Zen Hei"/>
        <family val="2"/>
      </rPr>
      <t xml:space="preserve">법무소 비용 및 절차 문의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대표님 확인 및 진행 여부 확인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진행</t>
    </r>
  </si>
  <si>
    <r>
      <rPr>
        <sz val="10"/>
        <rFont val="맑은 고딕"/>
        <family val="0"/>
        <charset val="1"/>
      </rPr>
      <t xml:space="preserve">2~3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건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법무사 처리기간 </t>
    </r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주 별도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</si>
  <si>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26.01.08 </t>
    </r>
    <r>
      <rPr>
        <sz val="10"/>
        <rFont val="WenQuanYi Zen Hei"/>
        <family val="2"/>
      </rPr>
      <t xml:space="preserve">더스마트 통해 진행한 히스토리 추가하기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</si>
  <si>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법인 임원 변경 관련 확인요청</t>
    </r>
    <r>
      <rPr>
        <sz val="10"/>
        <rFont val="맑은 고딕"/>
        <family val="0"/>
        <charset val="1"/>
      </rPr>
      <t xml:space="preserve">_25.06.12.xlsx</t>
    </r>
  </si>
  <si>
    <t xml:space="preserve">전자인지 발급</t>
  </si>
  <si>
    <r>
      <rPr>
        <sz val="10"/>
        <rFont val="WenQuanYi Zen Hei"/>
        <family val="2"/>
      </rPr>
      <t xml:space="preserve">공공기관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유사 기관과 계약 체결 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전자인지를 발급 받아야 함
전자인지 발급 매뉴얼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간단</t>
    </r>
    <r>
      <rPr>
        <sz val="10"/>
        <rFont val="맑은 고딕"/>
        <family val="0"/>
        <charset val="1"/>
      </rPr>
      <t xml:space="preserve">) - </t>
    </r>
    <r>
      <rPr>
        <sz val="10"/>
        <rFont val="WenQuanYi Zen Hei"/>
        <family val="2"/>
      </rPr>
      <t xml:space="preserve">전자인지 사이트 들어가서 결제</t>
    </r>
  </si>
  <si>
    <r>
      <rPr>
        <sz val="10"/>
        <rFont val="맑은 고딕"/>
        <family val="0"/>
        <charset val="1"/>
      </rPr>
      <t xml:space="preserve">20~30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건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</si>
  <si>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필요시</t>
    </r>
  </si>
  <si>
    <t xml:space="preserve">일간</t>
  </si>
  <si>
    <t xml:space="preserve">이 업무리스트 관리</t>
  </si>
  <si>
    <r>
      <rPr>
        <sz val="10"/>
        <rFont val="WenQuanYi Zen Hei"/>
        <family val="2"/>
      </rPr>
      <t xml:space="preserve">일간 업무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주간 업무 월간 업무 확인하며 누락 없는지 체크
추가 업무 발생할 때마다 지체없이 추가</t>
    </r>
  </si>
  <si>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일</t>
    </r>
  </si>
  <si>
    <r>
      <rPr>
        <sz val="10"/>
        <rFont val="WenQuanYi Zen Hei"/>
        <family val="2"/>
      </rPr>
      <t xml:space="preserve">비정기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월간</t>
    </r>
  </si>
  <si>
    <t xml:space="preserve">세금계산서 발행</t>
  </si>
  <si>
    <r>
      <rPr>
        <sz val="10"/>
        <rFont val="WenQuanYi Zen Hei"/>
        <family val="2"/>
      </rPr>
      <t xml:space="preserve">세금계산서 발행 요청 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홈택스에서 발급 완료 후 각 폴더에 넣기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완료 노티하면 해당 폴더에서 요청자가 확인
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태경사</t>
    </r>
    <r>
      <rPr>
        <sz val="10"/>
        <rFont val="맑은 고딕"/>
        <family val="0"/>
        <charset val="1"/>
      </rPr>
      <t xml:space="preserve">]
- </t>
    </r>
    <r>
      <rPr>
        <sz val="10"/>
        <rFont val="WenQuanYi Zen Hei"/>
        <family val="2"/>
      </rPr>
      <t xml:space="preserve">발행일자 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일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업체 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태경사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품목명 </t>
    </r>
    <r>
      <rPr>
        <sz val="10"/>
        <rFont val="맑은 고딕"/>
        <family val="0"/>
        <charset val="1"/>
      </rPr>
      <t xml:space="preserve">: AI </t>
    </r>
    <r>
      <rPr>
        <sz val="10"/>
        <rFont val="WenQuanYi Zen Hei"/>
        <family val="2"/>
      </rPr>
      <t xml:space="preserve">솔루션 개발 유지보수 서비스 계약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금액 </t>
    </r>
    <r>
      <rPr>
        <sz val="10"/>
        <rFont val="맑은 고딕"/>
        <family val="0"/>
        <charset val="1"/>
      </rPr>
      <t xml:space="preserve">: 300,000 (</t>
    </r>
    <r>
      <rPr>
        <sz val="10"/>
        <rFont val="WenQuanYi Zen Hei"/>
        <family val="2"/>
      </rPr>
      <t xml:space="preserve">부가세 별도</t>
    </r>
    <r>
      <rPr>
        <sz val="10"/>
        <rFont val="맑은 고딕"/>
        <family val="0"/>
        <charset val="1"/>
      </rPr>
      <t xml:space="preserve">)
- </t>
    </r>
    <r>
      <rPr>
        <sz val="10"/>
        <rFont val="WenQuanYi Zen Hei"/>
        <family val="2"/>
      </rPr>
      <t xml:space="preserve">발행일 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일 월정기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이메일 </t>
    </r>
    <r>
      <rPr>
        <sz val="10"/>
        <rFont val="맑은 고딕"/>
        <family val="0"/>
        <charset val="1"/>
      </rPr>
      <t xml:space="preserve">: na7060@hanmail.net</t>
    </r>
  </si>
  <si>
    <r>
      <rPr>
        <sz val="10"/>
        <rFont val="맑은 고딕"/>
        <family val="0"/>
        <charset val="1"/>
      </rPr>
      <t xml:space="preserve">15~20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건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</si>
  <si>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일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태경사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</si>
  <si>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홈택스에서 세금계산서 발행
ㄴ발급한 세금계산서는 보통 </t>
    </r>
    <r>
      <rPr>
        <sz val="10"/>
        <rFont val="맑은 고딕"/>
        <family val="0"/>
        <charset val="1"/>
      </rPr>
      <t xml:space="preserve">finance </t>
    </r>
    <r>
      <rPr>
        <sz val="10"/>
        <rFont val="WenQuanYi Zen Hei"/>
        <family val="2"/>
      </rPr>
      <t xml:space="preserve">메일에서 확인 가능하나 관련 폴더에 넣어두도록</t>
    </r>
  </si>
  <si>
    <t xml:space="preserve">월간</t>
  </si>
  <si>
    <r>
      <rPr>
        <sz val="10"/>
        <rFont val="WenQuanYi Zen Hei"/>
        <family val="2"/>
      </rPr>
      <t xml:space="preserve">법인 서류관리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유효기간 있는 것들은 정기적으로 확인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</si>
  <si>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등기부등본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인감증명서 잔여수량 확인 및 발급 진행 </t>
    </r>
    <r>
      <rPr>
        <sz val="10"/>
        <rFont val="맑은 고딕"/>
        <family val="0"/>
        <charset val="1"/>
      </rPr>
      <t xml:space="preserve">(5</t>
    </r>
    <r>
      <rPr>
        <sz val="10"/>
        <rFont val="WenQuanYi Zen Hei"/>
        <family val="2"/>
      </rPr>
      <t xml:space="preserve">개씩 발급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인감증명서인 경우</t>
    </r>
    <r>
      <rPr>
        <sz val="10"/>
        <rFont val="맑은 고딕"/>
        <family val="0"/>
        <charset val="1"/>
      </rPr>
      <t xml:space="preserve">, 3</t>
    </r>
    <r>
      <rPr>
        <sz val="10"/>
        <rFont val="WenQuanYi Zen Hei"/>
        <family val="2"/>
      </rPr>
      <t xml:space="preserve">개월 지난 서류는 사용할 수 없으므로 파기</t>
    </r>
    <r>
      <rPr>
        <sz val="10"/>
        <rFont val="맑은 고딕"/>
        <family val="0"/>
        <charset val="1"/>
      </rPr>
      <t xml:space="preserve">)
- </t>
    </r>
    <r>
      <rPr>
        <sz val="10"/>
        <rFont val="WenQuanYi Zen Hei"/>
        <family val="2"/>
      </rPr>
      <t xml:space="preserve">준비물 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클리어파일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인감카드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법인카드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장소 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강남구청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사업자등록증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주주명부 등의 서류도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개씩 출력 및 보관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발급 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스캔해서 경영지원 파일 계속해서 업데이트
서류들 요청받을 경우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요구되는 발급 기간이 있는지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특정 일자 이후 발급본만 취급인지 반드시 확인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</si>
  <si>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월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강남구청 왕복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발급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스캔 포함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</si>
  <si>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일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</si>
  <si>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확인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아웃룩 메일 확인</t>
    </r>
  </si>
  <si>
    <r>
      <rPr>
        <sz val="10"/>
        <rFont val="WenQuanYi Zen Hei"/>
        <family val="2"/>
      </rPr>
      <t xml:space="preserve">매일 아웃룩 메일 확인 및 관리 </t>
    </r>
    <r>
      <rPr>
        <sz val="10"/>
        <rFont val="맑은 고딕"/>
        <family val="0"/>
        <charset val="1"/>
      </rPr>
      <t xml:space="preserve">(finance/sales/hr/contact/marketing/sales/cs)</t>
    </r>
  </si>
  <si>
    <r>
      <rPr>
        <sz val="10"/>
        <rFont val="맑은 고딕"/>
        <family val="0"/>
        <charset val="1"/>
      </rPr>
      <t xml:space="preserve">20~30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일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</si>
  <si>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매일</t>
    </r>
  </si>
  <si>
    <t xml:space="preserve">주간</t>
  </si>
  <si>
    <r>
      <rPr>
        <sz val="10"/>
        <rFont val="WenQuanYi Zen Hei"/>
        <family val="2"/>
      </rPr>
      <t xml:space="preserve">전체회의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팀장 주간회의</t>
    </r>
  </si>
  <si>
    <r>
      <rPr>
        <sz val="10"/>
        <rFont val="WenQuanYi Zen Hei"/>
        <family val="2"/>
      </rPr>
      <t xml:space="preserve">전체회의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부팀장 회의일정 확정 후 팀즈 캘린더 생성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전체회의는 매주 화요일 오전 </t>
    </r>
    <r>
      <rPr>
        <sz val="10"/>
        <rFont val="맑은 고딕"/>
        <family val="0"/>
        <charset val="1"/>
      </rPr>
      <t xml:space="preserve">10:30~11:30
- </t>
    </r>
    <r>
      <rPr>
        <sz val="10"/>
        <rFont val="WenQuanYi Zen Hei"/>
        <family val="2"/>
      </rPr>
      <t xml:space="preserve">부팀장 주간회의는 매주 화요일 오후 </t>
    </r>
    <r>
      <rPr>
        <sz val="10"/>
        <rFont val="맑은 고딕"/>
        <family val="0"/>
        <charset val="1"/>
      </rPr>
      <t xml:space="preserve">14:00~15:00
- </t>
    </r>
    <r>
      <rPr>
        <sz val="10"/>
        <rFont val="WenQuanYi Zen Hei"/>
        <family val="2"/>
      </rPr>
      <t xml:space="preserve">매주 대표님 일정 확인 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일정 생성</t>
    </r>
  </si>
  <si>
    <r>
      <rPr>
        <sz val="10"/>
        <rFont val="맑은 고딕"/>
        <family val="0"/>
        <charset val="1"/>
      </rPr>
      <t xml:space="preserve">15~20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주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회의 참석 시간 별도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</si>
  <si>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매주
주간 팀장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부팀장 회의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매주 화요일 </t>
    </r>
    <r>
      <rPr>
        <sz val="10"/>
        <rFont val="맑은 고딕"/>
        <family val="0"/>
        <charset val="1"/>
      </rPr>
      <t xml:space="preserve">10:30 / </t>
    </r>
    <r>
      <rPr>
        <sz val="10"/>
        <rFont val="WenQuanYi Zen Hei"/>
        <family val="2"/>
      </rPr>
      <t xml:space="preserve">주간 전체 회의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매주 수요일 </t>
    </r>
    <r>
      <rPr>
        <sz val="10"/>
        <rFont val="맑은 고딕"/>
        <family val="0"/>
        <charset val="1"/>
      </rPr>
      <t xml:space="preserve">10:30
</t>
    </r>
    <r>
      <rPr>
        <sz val="10"/>
        <rFont val="WenQuanYi Zen Hei"/>
        <family val="2"/>
      </rPr>
      <t xml:space="preserve">스파크플러스 회의실 예약은 웹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앱으로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주 전부터 가능 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크레딧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57 </t>
    </r>
    <r>
      <rPr>
        <sz val="10"/>
        <rFont val="WenQuanYi Zen Hei"/>
        <family val="2"/>
      </rPr>
      <t xml:space="preserve">크레딧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캘린더에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주 전 알림 등 생성해두고 미리 예약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</si>
  <si>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팀즈 일정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새 모임 클릭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제목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해당되는 참석자 추가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예시</t>
    </r>
    <r>
      <rPr>
        <sz val="10"/>
        <rFont val="맑은 고딕"/>
        <family val="0"/>
        <charset val="1"/>
      </rPr>
      <t xml:space="preserve">) [</t>
    </r>
    <r>
      <rPr>
        <sz val="10"/>
        <rFont val="WenQuanYi Zen Hei"/>
        <family val="2"/>
      </rPr>
      <t xml:space="preserve">주간회의</t>
    </r>
    <r>
      <rPr>
        <sz val="10"/>
        <rFont val="맑은 고딕"/>
        <family val="0"/>
        <charset val="1"/>
      </rPr>
      <t xml:space="preserve">][13D] 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 전체회의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모든 참석자 추가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예시</t>
    </r>
    <r>
      <rPr>
        <sz val="10"/>
        <rFont val="맑은 고딕"/>
        <family val="0"/>
        <charset val="1"/>
      </rPr>
      <t xml:space="preserve">) [13</t>
    </r>
    <r>
      <rPr>
        <sz val="10"/>
        <rFont val="WenQuanYi Zen Hei"/>
        <family val="2"/>
      </rPr>
      <t xml:space="preserve">시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팀별 주간회의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부팀장만 추가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캘린더 제목은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시간</t>
    </r>
    <r>
      <rPr>
        <sz val="10"/>
        <rFont val="맑은 고딕"/>
        <family val="0"/>
        <charset val="1"/>
      </rPr>
      <t xml:space="preserve">][</t>
    </r>
    <r>
      <rPr>
        <sz val="10"/>
        <rFont val="WenQuanYi Zen Hei"/>
        <family val="2"/>
      </rPr>
      <t xml:space="preserve">회의실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내용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</si>
  <si>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가이드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업무 사용 가이드 및 매뉴얼 업데이트</t>
    </r>
  </si>
  <si>
    <t xml:space="preserve">㈜제로스트에이아이 일반 채널에 업로드 되어있는 가이드 및 매뉴얼 업데이트</t>
  </si>
  <si>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~1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건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업데이트 사항 있을 때만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</si>
  <si>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업데이트 된 내용 있을 때만 진행하면 됨</t>
    </r>
  </si>
  <si>
    <r>
      <rPr>
        <sz val="10"/>
        <rFont val="WenQuanYi Zen Hei"/>
        <family val="2"/>
      </rPr>
      <t xml:space="preserve">슬라이드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기획 제작</t>
    </r>
  </si>
  <si>
    <r>
      <rPr>
        <sz val="10"/>
        <rFont val="WenQuanYi Zen Hei"/>
        <family val="2"/>
      </rPr>
      <t xml:space="preserve">기본 자료 바탕으로 </t>
    </r>
    <r>
      <rPr>
        <sz val="10"/>
        <rFont val="맑은 고딕"/>
        <family val="0"/>
        <charset val="1"/>
      </rPr>
      <t xml:space="preserve">md </t>
    </r>
    <r>
      <rPr>
        <sz val="10"/>
        <rFont val="WenQuanYi Zen Hei"/>
        <family val="2"/>
      </rPr>
      <t xml:space="preserve">파일 만들기
</t>
    </r>
    <r>
      <rPr>
        <sz val="10"/>
        <rFont val="맑은 고딕"/>
        <family val="0"/>
        <charset val="1"/>
      </rPr>
      <t xml:space="preserve">md </t>
    </r>
    <r>
      <rPr>
        <sz val="10"/>
        <rFont val="WenQuanYi Zen Hei"/>
        <family val="2"/>
      </rPr>
      <t xml:space="preserve">파일들 바탕으로 기획안으로 디벨롭
이후 슬라이드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이미지 생성은 클로드 등 툴 활용</t>
    </r>
  </si>
  <si>
    <r>
      <rPr>
        <sz val="10"/>
        <rFont val="맑은 고딕"/>
        <family val="0"/>
        <charset val="1"/>
      </rPr>
      <t xml:space="preserve">4~8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건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</si>
  <si>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지원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유관 전시회 서칭 및 리스트업</t>
    </r>
  </si>
  <si>
    <t xml:space="preserve">당사 사업과 적합한 전시 서칭 및 리스트업</t>
  </si>
  <si>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월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</si>
  <si>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전시 리스트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_25.09.03.xlsx</t>
    </r>
  </si>
  <si>
    <r>
      <rPr>
        <sz val="10"/>
        <rFont val="WenQuanYi Zen Hei"/>
        <family val="2"/>
      </rPr>
      <t xml:space="preserve">나라장터 입찰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전자계약 관리</t>
    </r>
  </si>
  <si>
    <t xml:space="preserve">나라장터에 공동인증서 등록
입찰 가능 여부 확인 및 계약서 확인
공공조달 계약 시 전자계약 진행</t>
  </si>
  <si>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건</t>
    </r>
  </si>
  <si>
    <r>
      <rPr>
        <sz val="10"/>
        <rFont val="WenQuanYi Zen Hei"/>
        <family val="2"/>
      </rPr>
      <t xml:space="preserve">크몽</t>
    </r>
    <r>
      <rPr>
        <sz val="10"/>
        <rFont val="맑은 고딕"/>
        <family val="0"/>
        <charset val="1"/>
      </rPr>
      <t xml:space="preserve">(AX </t>
    </r>
    <r>
      <rPr>
        <sz val="10"/>
        <rFont val="WenQuanYi Zen Hei"/>
        <family val="2"/>
      </rPr>
      <t xml:space="preserve">구축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계정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문의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세션 등록</t>
    </r>
  </si>
  <si>
    <r>
      <rPr>
        <sz val="10"/>
        <rFont val="WenQuanYi Zen Hei"/>
        <family val="2"/>
      </rPr>
      <t xml:space="preserve">크몽 계정 확인 및 문의 대응
</t>
    </r>
    <r>
      <rPr>
        <sz val="10"/>
        <rFont val="맑은 고딕"/>
        <family val="0"/>
        <charset val="1"/>
      </rPr>
      <t xml:space="preserve">AX </t>
    </r>
    <r>
      <rPr>
        <sz val="10"/>
        <rFont val="WenQuanYi Zen Hei"/>
        <family val="2"/>
      </rPr>
      <t xml:space="preserve">구축 세션 등록 및 내용 업데이트</t>
    </r>
  </si>
  <si>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~1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건</t>
    </r>
  </si>
  <si>
    <r>
      <rPr>
        <sz val="10"/>
        <rFont val="맑은 고딕"/>
        <family val="0"/>
        <charset val="1"/>
      </rPr>
      <t xml:space="preserve">PG·</t>
    </r>
    <r>
      <rPr>
        <sz val="10"/>
        <rFont val="WenQuanYi Zen Hei"/>
        <family val="2"/>
      </rPr>
      <t xml:space="preserve">보증보험 가입 관리</t>
    </r>
  </si>
  <si>
    <r>
      <rPr>
        <sz val="10"/>
        <rFont val="WenQuanYi Zen Hei"/>
        <family val="2"/>
      </rPr>
      <t xml:space="preserve">페이버스 </t>
    </r>
    <r>
      <rPr>
        <sz val="10"/>
        <rFont val="맑은 고딕"/>
        <family val="0"/>
        <charset val="1"/>
      </rPr>
      <t xml:space="preserve">PG </t>
    </r>
    <r>
      <rPr>
        <sz val="10"/>
        <rFont val="WenQuanYi Zen Hei"/>
        <family val="2"/>
      </rPr>
      <t xml:space="preserve">등록을 위한 보증보험 가입
선금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손해배상 보증보험 가입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서울보증보험 담당자 문의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</si>
  <si>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보증보험증권 가입 메뉴얼</t>
    </r>
  </si>
  <si>
    <t xml:space="preserve">서비스 관리</t>
  </si>
  <si>
    <t xml:space="preserve">호텔 제로바타 쇼핑몰 상품 구매</t>
  </si>
  <si>
    <t xml:space="preserve">판매 물품은 지속적으로 업데이트 및 추가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</si>
  <si>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회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</si>
  <si>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제로바타호텔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판매물품정리</t>
    </r>
    <r>
      <rPr>
        <sz val="10"/>
        <rFont val="맑은 고딕"/>
        <family val="0"/>
        <charset val="1"/>
      </rPr>
      <t xml:space="preserve">.xlsx</t>
    </r>
  </si>
  <si>
    <t xml:space="preserve">호텔 제로바타 상품 관리 및 포장</t>
  </si>
  <si>
    <r>
      <rPr>
        <sz val="10"/>
        <rFont val="WenQuanYi Zen Hei"/>
        <family val="2"/>
      </rPr>
      <t xml:space="preserve">기본 포장 및 관리 매뉴얼은 가이드 참고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문의사항은 기획팀 또는 대표님 문의</t>
    </r>
  </si>
  <si>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회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</si>
  <si>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포장 및 배송 프로세스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.xlsx</t>
    </r>
  </si>
  <si>
    <r>
      <rPr>
        <sz val="10"/>
        <rFont val="WenQuanYi Zen Hei"/>
        <family val="2"/>
      </rPr>
      <t xml:space="preserve">전자계약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산출내역서 발송</t>
    </r>
  </si>
  <si>
    <t xml:space="preserve">기관별 전자계약 발송 및 재발송
산출내역서 작성 후 공유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</si>
  <si>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건</t>
    </r>
  </si>
  <si>
    <r>
      <rPr>
        <sz val="10"/>
        <rFont val="WenQuanYi Zen Hei"/>
        <family val="2"/>
      </rPr>
      <t xml:space="preserve">소울리 녹음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데이터 현장 지원</t>
    </r>
  </si>
  <si>
    <r>
      <rPr>
        <sz val="10"/>
        <rFont val="WenQuanYi Zen Hei"/>
        <family val="2"/>
      </rPr>
      <t xml:space="preserve">소울리 데이터용 녹음 현장 보조
녹음실 관련 지원 필요 시 서포트 </t>
    </r>
    <r>
      <rPr>
        <sz val="10"/>
        <rFont val="맑은 고딕"/>
        <family val="0"/>
        <charset val="1"/>
      </rPr>
      <t xml:space="preserve">(w/ </t>
    </r>
    <r>
      <rPr>
        <sz val="10"/>
        <rFont val="WenQuanYi Zen Hei"/>
        <family val="2"/>
      </rPr>
      <t xml:space="preserve">혜원님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</si>
  <si>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4~8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현장 일정에 따름</t>
    </r>
    <r>
      <rPr>
        <sz val="10"/>
        <rFont val="맑은 고딕"/>
        <family val="0"/>
        <charset val="1"/>
      </rPr>
      <t xml:space="preserve">)</t>
    </r>
  </si>
  <si>
    <t xml:space="preserve">아르바이트 관리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</si>
  <si>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인사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채용공고 관리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</si>
  <si>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인사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근로계약서 관리</t>
    </r>
  </si>
  <si>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건</t>
    </r>
  </si>
  <si>
    <r>
      <rPr>
        <sz val="10"/>
        <rFont val="맑은 고딕"/>
        <family val="0"/>
        <charset val="1"/>
      </rPr>
      <t xml:space="preserve">* </t>
    </r>
    <r>
      <rPr>
        <sz val="10"/>
        <rFont val="WenQuanYi Zen Hei"/>
        <family val="2"/>
      </rPr>
      <t xml:space="preserve">근무 시간 유동적으로 변경 가능한 점 명시
</t>
    </r>
    <r>
      <rPr>
        <sz val="10"/>
        <rFont val="맑은 고딕"/>
        <family val="0"/>
        <charset val="1"/>
      </rPr>
      <t xml:space="preserve">* </t>
    </r>
    <r>
      <rPr>
        <sz val="10"/>
        <rFont val="WenQuanYi Zen Hei"/>
        <family val="2"/>
      </rPr>
      <t xml:space="preserve">근로계약은 자동 연장이 아니라는 점 명시
</t>
    </r>
    <r>
      <rPr>
        <sz val="10"/>
        <rFont val="맑은 고딕"/>
        <family val="0"/>
        <charset val="1"/>
      </rPr>
      <t xml:space="preserve">* 4</t>
    </r>
    <r>
      <rPr>
        <sz val="10"/>
        <rFont val="WenQuanYi Zen Hei"/>
        <family val="2"/>
      </rPr>
      <t xml:space="preserve">대 보험 가입 명시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</si>
  <si>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회계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외화 환전</t>
    </r>
  </si>
  <si>
    <r>
      <rPr>
        <sz val="10"/>
        <rFont val="WenQuanYi Zen Hei"/>
        <family val="2"/>
      </rPr>
      <t xml:space="preserve">배송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배달 대행 시 현금 결제하는 경우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잔돈을 현금으로 거슬러 줘야 하는 이슈 발생
외국인 고객의 외화 현금 결제 하는 경우 대비하여 외화 환전도 필요
다만 대부분의 은행이나 환전소에서는 안해주는 경우가 많음</t>
    </r>
  </si>
  <si>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회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은행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환전소 방문 포함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</si>
  <si>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최초</t>
    </r>
    <r>
      <rPr>
        <sz val="10"/>
        <rFont val="맑은 고딕"/>
        <family val="0"/>
        <charset val="1"/>
      </rPr>
      <t xml:space="preserve">) 2026.01.14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</si>
  <si>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진행 내역 예시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</si>
  <si>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회계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급여 지출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</si>
  <si>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월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</si>
  <si>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회계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현금시재표 관리</t>
    </r>
  </si>
  <si>
    <r>
      <rPr>
        <sz val="10"/>
        <rFont val="맑은 고딕"/>
        <family val="0"/>
        <charset val="1"/>
      </rPr>
      <t xml:space="preserve">20~30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주</t>
    </r>
  </si>
  <si>
    <t xml:space="preserve">영업 지원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</si>
  <si>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영업</t>
    </r>
    <r>
      <rPr>
        <sz val="10"/>
        <rFont val="맑은 고딕"/>
        <family val="0"/>
        <charset val="1"/>
      </rPr>
      <t xml:space="preserve">] T/A </t>
    </r>
    <r>
      <rPr>
        <sz val="10"/>
        <rFont val="WenQuanYi Zen Hei"/>
        <family val="2"/>
      </rPr>
      <t xml:space="preserve">영업관리표 업데이트</t>
    </r>
  </si>
  <si>
    <t xml:space="preserve">각 시트에 맞게 작성 확인 및 기관 리스트업</t>
  </si>
  <si>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~1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회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</si>
  <si>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1.. XeroVatar </t>
    </r>
    <r>
      <rPr>
        <sz val="10"/>
        <rFont val="WenQuanYi Zen Hei"/>
        <family val="2"/>
      </rPr>
      <t xml:space="preserve">영업 관리표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.xlsx</t>
    </r>
  </si>
  <si>
    <t xml:space="preserve">영업 주간회의 참여 및 회의록 업로드</t>
  </si>
  <si>
    <r>
      <rPr>
        <sz val="10"/>
        <rFont val="WenQuanYi Zen Hei"/>
        <family val="2"/>
      </rPr>
      <t xml:space="preserve">영업파트너사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영업 인력과 주간회의 진행 시 참여하여 회의록 업로드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제로바타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팔레트 </t>
    </r>
    <r>
      <rPr>
        <sz val="10"/>
        <rFont val="맑은 고딕"/>
        <family val="0"/>
        <charset val="1"/>
      </rPr>
      <t xml:space="preserve">1. </t>
    </r>
    <r>
      <rPr>
        <sz val="10"/>
        <rFont val="WenQuanYi Zen Hei"/>
        <family val="2"/>
      </rPr>
      <t xml:space="preserve">주간회의 채널 참고</t>
    </r>
  </si>
  <si>
    <r>
      <rPr>
        <sz val="10"/>
        <rFont val="맑은 고딕"/>
        <family val="0"/>
        <charset val="1"/>
      </rPr>
      <t xml:space="preserve">1.5~2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회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회의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회의록 정리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</si>
  <si>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영업 주간회의 회의록 예시</t>
    </r>
  </si>
  <si>
    <t xml:space="preserve">제로바타 소개서 업데이트</t>
  </si>
  <si>
    <r>
      <rPr>
        <sz val="10"/>
        <rFont val="WenQuanYi Zen Hei"/>
        <family val="2"/>
      </rPr>
      <t xml:space="preserve">제로바타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팔레트</t>
    </r>
    <r>
      <rPr>
        <sz val="10"/>
        <rFont val="맑은 고딕"/>
        <family val="0"/>
        <charset val="1"/>
      </rPr>
      <t xml:space="preserve">:
1.</t>
    </r>
    <r>
      <rPr>
        <sz val="10"/>
        <rFont val="WenQuanYi Zen Hei"/>
        <family val="2"/>
      </rPr>
      <t xml:space="preserve">일반 채널→공용 제로바타 소개서</t>
    </r>
    <r>
      <rPr>
        <sz val="10"/>
        <rFont val="맑은 고딕"/>
        <family val="0"/>
        <charset val="1"/>
      </rPr>
      <t xml:space="preserve">, 2.</t>
    </r>
    <r>
      <rPr>
        <sz val="10"/>
        <rFont val="WenQuanYi Zen Hei"/>
        <family val="2"/>
      </rPr>
      <t xml:space="preserve">전시문화 채널→전시문화기관 버전</t>
    </r>
    <r>
      <rPr>
        <sz val="10"/>
        <rFont val="맑은 고딕"/>
        <family val="0"/>
        <charset val="1"/>
      </rPr>
      <t xml:space="preserve">, 3.</t>
    </r>
    <r>
      <rPr>
        <sz val="10"/>
        <rFont val="WenQuanYi Zen Hei"/>
        <family val="2"/>
      </rPr>
      <t xml:space="preserve">호텔 채널→호텔 버전</t>
    </r>
  </si>
  <si>
    <r>
      <rPr>
        <sz val="10"/>
        <rFont val="맑은 고딕"/>
        <family val="0"/>
        <charset val="1"/>
      </rPr>
      <t xml:space="preserve">2~4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건</t>
    </r>
  </si>
  <si>
    <t xml:space="preserve">카드 단말기 사용</t>
  </si>
  <si>
    <r>
      <rPr>
        <sz val="10"/>
        <rFont val="WenQuanYi Zen Hei"/>
        <family val="2"/>
      </rPr>
      <t xml:space="preserve">예전 단말기 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사용 가이드에 상세한 사용법 작성되어있으며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주로 키인결제 사용
현재 단말기 </t>
    </r>
    <r>
      <rPr>
        <sz val="10"/>
        <rFont val="맑은 고딕"/>
        <family val="0"/>
        <charset val="1"/>
      </rPr>
      <t xml:space="preserve">: KTR-1200N
+ </t>
    </r>
    <r>
      <rPr>
        <sz val="10"/>
        <rFont val="WenQuanYi Zen Hei"/>
        <family val="2"/>
      </rPr>
      <t xml:space="preserve">구매 시 가이드</t>
    </r>
  </si>
  <si>
    <r>
      <rPr>
        <sz val="10"/>
        <rFont val="맑은 고딕"/>
        <family val="0"/>
        <charset val="1"/>
      </rPr>
      <t xml:space="preserve">10~15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건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</si>
  <si>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9. </t>
    </r>
    <r>
      <rPr>
        <sz val="10"/>
        <rFont val="WenQuanYi Zen Hei"/>
        <family val="2"/>
      </rPr>
      <t xml:space="preserve">카드 단말기 사용 가이드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_25.01.16.xlsx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</si>
  <si>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공유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참여 지원사업 현재 진행상황 공유</t>
    </r>
  </si>
  <si>
    <t xml:space="preserve">진행 중이거나 지원 완료한 정부지원사업 상세정보 기입</t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</si>
  <si>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정부지원사업 기본정보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_25.04.09 1.xlsx</t>
    </r>
  </si>
  <si>
    <r>
      <rPr>
        <sz val="10"/>
        <rFont val="WenQuanYi Zen Hei"/>
        <family val="2"/>
      </rPr>
      <t xml:space="preserve">제로바타 월 정기 결제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카드단말기 키인결제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</si>
  <si>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GKL </t>
    </r>
    <r>
      <rPr>
        <sz val="10"/>
        <rFont val="WenQuanYi Zen Hei"/>
        <family val="2"/>
      </rPr>
      <t xml:space="preserve">결제
</t>
    </r>
    <r>
      <rPr>
        <sz val="10"/>
        <rFont val="맑은 고딕"/>
        <family val="0"/>
        <charset val="1"/>
      </rPr>
      <t xml:space="preserve">5525-7642-0096-5768
02/27
121
</t>
    </r>
    <r>
      <rPr>
        <sz val="10"/>
        <rFont val="WenQuanYi Zen Hei"/>
        <family val="2"/>
      </rPr>
      <t xml:space="preserve">매월 초 키인결제로 </t>
    </r>
    <r>
      <rPr>
        <sz val="10"/>
        <rFont val="맑은 고딕"/>
        <family val="0"/>
        <charset val="1"/>
      </rPr>
      <t xml:space="preserve">590,000 * 2 = 1,180,000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나이스 포스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접속해서 카드결제 전표 출력 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매월 초 </t>
    </r>
    <r>
      <rPr>
        <sz val="10"/>
        <rFont val="맑은 고딕"/>
        <family val="0"/>
        <charset val="1"/>
      </rPr>
      <t xml:space="preserve">GKL</t>
    </r>
    <r>
      <rPr>
        <sz val="10"/>
        <rFont val="WenQuanYi Zen Hei"/>
        <family val="2"/>
      </rPr>
      <t xml:space="preserve">에 보내줄 것</t>
    </r>
    <r>
      <rPr>
        <sz val="10"/>
        <rFont val="맑은 고딕"/>
        <family val="0"/>
        <charset val="1"/>
      </rPr>
      <t xml:space="preserve">)
xerostN701
doubleN07$
---------------------
</t>
    </r>
    <r>
      <rPr>
        <sz val="10"/>
        <rFont val="WenQuanYi Zen Hei"/>
        <family val="2"/>
      </rPr>
      <t xml:space="preserve">한국족보박물관
</t>
    </r>
    <r>
      <rPr>
        <sz val="10"/>
        <rFont val="맑은 고딕"/>
        <family val="0"/>
        <charset val="1"/>
      </rPr>
      <t xml:space="preserve">4140-2546-5478-6900 01/27
</t>
    </r>
    <r>
      <rPr>
        <sz val="10"/>
        <rFont val="WenQuanYi Zen Hei"/>
        <family val="2"/>
      </rPr>
      <t xml:space="preserve">매달 </t>
    </r>
    <r>
      <rPr>
        <sz val="10"/>
        <rFont val="맑은 고딕"/>
        <family val="0"/>
        <charset val="1"/>
      </rPr>
      <t xml:space="preserve">988,000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:
</t>
    </r>
    <r>
      <rPr>
        <sz val="10"/>
        <rFont val="WenQuanYi Zen Hei"/>
        <family val="2"/>
      </rPr>
      <t xml:space="preserve">천 이사님이 소통후 노티줄 것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월 초에 알아서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천 이사 퇴사부터는 경영지원에서 챙기기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</si>
  <si>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월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</si>
  <si>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매월 첫 영업일
※ 카드번호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계정정보가 포함되어 있으므로 파일 공유 범위 유의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계정정보 파일로 이관 권장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</si>
  <si>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전달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영업 리마인드 및 업무 피드백 전달</t>
    </r>
  </si>
  <si>
    <t xml:space="preserve">영업 주간회의 내용 토대로 리마인드 및 영업관리표 확인 후 피드백 전달</t>
  </si>
  <si>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~1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주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</si>
  <si>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매주 수요일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</si>
  <si>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영업 리마인드 및 업무 피드백 전달 예시</t>
    </r>
  </si>
  <si>
    <r>
      <rPr>
        <sz val="10"/>
        <rFont val="WenQuanYi Zen Hei"/>
        <family val="2"/>
      </rPr>
      <t xml:space="preserve">자사 영업관리 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세일즈태스크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구축 지원</t>
    </r>
  </si>
  <si>
    <r>
      <rPr>
        <sz val="10"/>
        <rFont val="WenQuanYi Zen Hei"/>
        <family val="2"/>
      </rPr>
      <t xml:space="preserve">자사 영업관리 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세일즈태스크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작업 진행 확인 </t>
    </r>
    <r>
      <rPr>
        <sz val="10"/>
        <rFont val="맑은 고딕"/>
        <family val="0"/>
        <charset val="1"/>
      </rPr>
      <t xml:space="preserve">(w/ </t>
    </r>
    <r>
      <rPr>
        <sz val="10"/>
        <rFont val="WenQuanYi Zen Hei"/>
        <family val="2"/>
      </rPr>
      <t xml:space="preserve">세훈님</t>
    </r>
    <r>
      <rPr>
        <sz val="10"/>
        <rFont val="맑은 고딕"/>
        <family val="0"/>
        <charset val="1"/>
      </rPr>
      <t xml:space="preserve">)</t>
    </r>
  </si>
  <si>
    <t xml:space="preserve">인사</t>
  </si>
  <si>
    <t xml:space="preserve">퇴사자 발생</t>
  </si>
  <si>
    <r>
      <rPr>
        <sz val="10"/>
        <rFont val="맑은 고딕"/>
        <family val="0"/>
        <charset val="1"/>
      </rPr>
      <t xml:space="preserve">* </t>
    </r>
    <r>
      <rPr>
        <sz val="10"/>
        <rFont val="WenQuanYi Zen Hei"/>
        <family val="2"/>
      </rPr>
      <t xml:space="preserve">사직서 수취 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가능한 한 금품 청산은 회사에 유리한 일정으로 제안
</t>
    </r>
    <r>
      <rPr>
        <sz val="10"/>
        <rFont val="맑은 고딕"/>
        <family val="0"/>
        <charset val="1"/>
      </rPr>
      <t xml:space="preserve">* </t>
    </r>
    <r>
      <rPr>
        <sz val="10"/>
        <rFont val="WenQuanYi Zen Hei"/>
        <family val="2"/>
      </rPr>
      <t xml:space="preserve">비품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자산 반납 요청 및 인수인계 요청
</t>
    </r>
    <r>
      <rPr>
        <sz val="10"/>
        <rFont val="맑은 고딕"/>
        <family val="0"/>
        <charset val="1"/>
      </rPr>
      <t xml:space="preserve">* </t>
    </r>
    <r>
      <rPr>
        <sz val="10"/>
        <rFont val="WenQuanYi Zen Hei"/>
        <family val="2"/>
      </rPr>
      <t xml:space="preserve">사무실 출입 권한 제한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스파크플러스 기준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어드민</t>
    </r>
    <r>
      <rPr>
        <sz val="10"/>
        <rFont val="맑은 고딕"/>
        <family val="0"/>
        <charset val="1"/>
      </rPr>
      <t xml:space="preserve">)
* </t>
    </r>
    <r>
      <rPr>
        <sz val="10"/>
        <rFont val="WenQuanYi Zen Hei"/>
        <family val="2"/>
      </rPr>
      <t xml:space="preserve">계정 제한 요청
</t>
    </r>
    <r>
      <rPr>
        <sz val="10"/>
        <rFont val="맑은 고딕"/>
        <family val="0"/>
        <charset val="1"/>
      </rPr>
      <t xml:space="preserve">* </t>
    </r>
    <r>
      <rPr>
        <sz val="10"/>
        <rFont val="WenQuanYi Zen Hei"/>
        <family val="2"/>
      </rPr>
      <t xml:space="preserve">기존 직원 정보 리스트에서 퇴사자 탭으로 이동
</t>
    </r>
    <r>
      <rPr>
        <sz val="10"/>
        <rFont val="맑은 고딕"/>
        <family val="0"/>
        <charset val="1"/>
      </rPr>
      <t xml:space="preserve">* </t>
    </r>
    <r>
      <rPr>
        <sz val="10"/>
        <rFont val="WenQuanYi Zen Hei"/>
        <family val="2"/>
      </rPr>
      <t xml:space="preserve">릭택스에서 상실 신고 요청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추가 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퇴사 설문 요청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</si>
  <si>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2~3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건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퇴사일 당일 처리 기준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후속 정산 별도</t>
    </r>
    <r>
      <rPr>
        <sz val="10"/>
        <rFont val="맑은 고딕"/>
        <family val="0"/>
        <charset val="1"/>
      </rPr>
      <t xml:space="preserve">)</t>
    </r>
  </si>
  <si>
    <t xml:space="preserve">직원 문의사항 대응</t>
  </si>
  <si>
    <r>
      <rPr>
        <sz val="10"/>
        <rFont val="WenQuanYi Zen Hei"/>
        <family val="2"/>
      </rPr>
      <t xml:space="preserve">모든 규정은 ㈜제로스트에이아이 일반 채널 업로드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기타 문의는 대표님과 논의</t>
    </r>
  </si>
  <si>
    <r>
      <rPr>
        <sz val="10"/>
        <rFont val="맑은 고딕"/>
        <family val="0"/>
        <charset val="1"/>
      </rPr>
      <t xml:space="preserve">15~30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건</t>
    </r>
  </si>
  <si>
    <t xml:space="preserve">취업규칙</t>
  </si>
  <si>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일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개정 건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노무사 검토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신고 기간 별도</t>
    </r>
    <r>
      <rPr>
        <sz val="10"/>
        <rFont val="맑은 고딕"/>
        <family val="0"/>
        <charset val="1"/>
      </rPr>
      <t xml:space="preserve">)</t>
    </r>
  </si>
  <si>
    <t xml:space="preserve">노동청 대응</t>
  </si>
  <si>
    <r>
      <rPr>
        <sz val="10"/>
        <rFont val="맑은 고딕"/>
        <family val="0"/>
        <charset val="1"/>
      </rPr>
      <t xml:space="preserve">* </t>
    </r>
    <r>
      <rPr>
        <sz val="10"/>
        <rFont val="WenQuanYi Zen Hei"/>
        <family val="2"/>
      </rPr>
      <t xml:space="preserve">평소에 증거 등 잘 모아두기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녹취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문서</t>
    </r>
    <r>
      <rPr>
        <sz val="10"/>
        <rFont val="맑은 고딕"/>
        <family val="0"/>
        <charset val="1"/>
      </rPr>
      <t xml:space="preserve">)</t>
    </r>
  </si>
  <si>
    <t xml:space="preserve">근로자 서류 관리</t>
  </si>
  <si>
    <r>
      <rPr>
        <sz val="10"/>
        <rFont val="WenQuanYi Zen Hei"/>
        <family val="2"/>
      </rPr>
      <t xml:space="preserve">근로계약서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신분증 등 주요 서류 보관 및 업데이트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</si>
  <si>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2. </t>
    </r>
    <r>
      <rPr>
        <sz val="10"/>
        <rFont val="WenQuanYi Zen Hei"/>
        <family val="2"/>
      </rPr>
      <t xml:space="preserve">근로자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장기근무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정규직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계약직</t>
    </r>
    <r>
      <rPr>
        <sz val="10"/>
        <rFont val="맑은 고딕"/>
        <family val="0"/>
        <charset val="1"/>
      </rPr>
      <t xml:space="preserve">)</t>
    </r>
  </si>
  <si>
    <t xml:space="preserve">근로 관련 서류 업로드</t>
  </si>
  <si>
    <r>
      <rPr>
        <sz val="10"/>
        <rFont val="WenQuanYi Zen Hei"/>
        <family val="2"/>
      </rPr>
      <t xml:space="preserve">재직증명서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사직서 등 전자 파일 관리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</si>
  <si>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4. </t>
    </r>
    <r>
      <rPr>
        <sz val="10"/>
        <rFont val="WenQuanYi Zen Hei"/>
        <family val="2"/>
      </rPr>
      <t xml:space="preserve">양식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서류</t>
    </r>
  </si>
  <si>
    <t xml:space="preserve">근태 관련 서류 업로드</t>
  </si>
  <si>
    <r>
      <rPr>
        <sz val="10"/>
        <rFont val="WenQuanYi Zen Hei"/>
        <family val="2"/>
      </rPr>
      <t xml:space="preserve">법정휴가 증빙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사유서 등 관리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</si>
  <si>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5. </t>
    </r>
    <r>
      <rPr>
        <sz val="10"/>
        <rFont val="WenQuanYi Zen Hei"/>
        <family val="2"/>
      </rPr>
      <t xml:space="preserve">관리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근태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증빙</t>
    </r>
    <r>
      <rPr>
        <sz val="10"/>
        <rFont val="맑은 고딕"/>
        <family val="0"/>
        <charset val="1"/>
      </rPr>
      <t xml:space="preserve">)</t>
    </r>
  </si>
  <si>
    <t xml:space="preserve">법정의무교육 수료증 요청 및 관리</t>
  </si>
  <si>
    <r>
      <rPr>
        <sz val="10"/>
        <rFont val="WenQuanYi Zen Hei"/>
        <family val="2"/>
      </rPr>
      <t xml:space="preserve">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수강 의무</t>
    </r>
  </si>
  <si>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년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안내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</si>
  <si>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25</t>
    </r>
    <r>
      <rPr>
        <sz val="10"/>
        <rFont val="WenQuanYi Zen Hei"/>
        <family val="2"/>
      </rPr>
      <t xml:space="preserve">년 기준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월 말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</si>
  <si>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5. </t>
    </r>
    <r>
      <rPr>
        <sz val="10"/>
        <rFont val="WenQuanYi Zen Hei"/>
        <family val="2"/>
      </rPr>
      <t xml:space="preserve">관리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법정의무교육</t>
    </r>
  </si>
  <si>
    <t xml:space="preserve">복지제도 관리</t>
  </si>
  <si>
    <t xml:space="preserve">복지 및 스톡옵션 관련 업무</t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</si>
  <si>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6. </t>
    </r>
    <r>
      <rPr>
        <sz val="10"/>
        <rFont val="WenQuanYi Zen Hei"/>
        <family val="2"/>
      </rPr>
      <t xml:space="preserve">복지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스톡옵션</t>
    </r>
  </si>
  <si>
    <t xml:space="preserve">인사평가 관리</t>
  </si>
  <si>
    <r>
      <rPr>
        <sz val="10"/>
        <rFont val="맑은 고딕"/>
        <family val="0"/>
        <charset val="1"/>
      </rPr>
      <t xml:space="preserve">2~3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월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</si>
  <si>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매월 초
전월의 업무에 대한 평가 진행</t>
    </r>
  </si>
  <si>
    <t xml:space="preserve">시프티 출퇴근기록 확인 및 수정 요청</t>
  </si>
  <si>
    <r>
      <rPr>
        <sz val="10"/>
        <rFont val="WenQuanYi Zen Hei"/>
        <family val="2"/>
      </rPr>
      <t xml:space="preserve">시프티 출퇴근내역이 근무일정과 동일한지 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늦게 찍거나 누락 시 수정 요청</t>
    </r>
  </si>
  <si>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~1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월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</si>
  <si>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일
원본 시트에는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일간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로 표기되어 있어 </t>
    </r>
    <r>
      <rPr>
        <sz val="10"/>
        <rFont val="맑은 고딕"/>
        <family val="0"/>
        <charset val="1"/>
      </rPr>
      <t xml:space="preserve">26.01 </t>
    </r>
    <r>
      <rPr>
        <sz val="10"/>
        <rFont val="WenQuanYi Zen Hei"/>
        <family val="2"/>
      </rPr>
      <t xml:space="preserve">이전 시트 기준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월간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정리</t>
    </r>
  </si>
  <si>
    <t xml:space="preserve">시프티 프로그램 근로자 요청사항 확인 및 근무일정 수정</t>
  </si>
  <si>
    <r>
      <rPr>
        <sz val="10"/>
        <rFont val="WenQuanYi Zen Hei"/>
        <family val="2"/>
      </rPr>
      <t xml:space="preserve">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연차 신청 → 근무일정 삭제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반차 신청 → 근무일정 수정 등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</si>
  <si>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https://shiftee.io/app/companies/2044038/manager/requests</t>
    </r>
  </si>
  <si>
    <t xml:space="preserve">상시</t>
  </si>
  <si>
    <t xml:space="preserve">채용 공고 관리</t>
  </si>
  <si>
    <r>
      <rPr>
        <sz val="10"/>
        <rFont val="WenQuanYi Zen Hei"/>
        <family val="2"/>
      </rPr>
      <t xml:space="preserve">공고 게제 중일 때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채용 필요의 시급성에 따라 정기적으로 공고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</si>
  <si>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대보험 신고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관리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</si>
  <si>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대보험 신고 관련 내부규정 및 진행방식 파악
아르바이트 포함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대보험 등록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신고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릭택스 연계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</si>
  <si>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온보딩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인수인계 실무</t>
    </r>
  </si>
  <si>
    <r>
      <rPr>
        <sz val="10"/>
        <rFont val="WenQuanYi Zen Hei"/>
        <family val="2"/>
      </rPr>
      <t xml:space="preserve">입사예정자 안내 메일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복리후생 정리</t>
    </r>
    <r>
      <rPr>
        <sz val="10"/>
        <rFont val="맑은 고딕"/>
        <family val="0"/>
        <charset val="1"/>
      </rPr>
      <t xml:space="preserve">)
</t>
    </r>
    <r>
      <rPr>
        <sz val="10"/>
        <rFont val="WenQuanYi Zen Hei"/>
        <family val="2"/>
      </rPr>
      <t xml:space="preserve">근로계약서 양식 준비
온보딩 자료 준비 및 인수인계 진행</t>
    </r>
  </si>
  <si>
    <r>
      <rPr>
        <sz val="10"/>
        <rFont val="맑은 고딕"/>
        <family val="0"/>
        <charset val="1"/>
      </rPr>
      <t xml:space="preserve">4~8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</t>
    </r>
  </si>
  <si>
    <t xml:space="preserve">채용공고 일일 모니터링</t>
  </si>
  <si>
    <r>
      <rPr>
        <sz val="10"/>
        <rFont val="WenQuanYi Zen Hei"/>
        <family val="2"/>
      </rPr>
      <t xml:space="preserve">채용공고 조회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클릭수 추이 확인
지원자 정리 후 공유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연락
추가 게재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유료광고 결제 검토</t>
    </r>
  </si>
  <si>
    <r>
      <rPr>
        <sz val="10"/>
        <rFont val="맑은 고딕"/>
        <family val="0"/>
        <charset val="1"/>
      </rPr>
      <t xml:space="preserve">15~20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일</t>
    </r>
  </si>
  <si>
    <r>
      <rPr>
        <sz val="10"/>
        <rFont val="WenQuanYi Zen Hei"/>
        <family val="2"/>
      </rPr>
      <t xml:space="preserve">근태 일일 정리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52</t>
    </r>
    <r>
      <rPr>
        <sz val="10"/>
        <rFont val="WenQuanYi Zen Hei"/>
        <family val="2"/>
      </rPr>
      <t xml:space="preserve">시간 모니터링</t>
    </r>
  </si>
  <si>
    <r>
      <rPr>
        <sz val="10"/>
        <rFont val="WenQuanYi Zen Hei"/>
        <family val="2"/>
      </rPr>
      <t xml:space="preserve">전일 근태내역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근태요청 확인 및 정리
인원별 연장근무 내역 확인
주</t>
    </r>
    <r>
      <rPr>
        <sz val="10"/>
        <rFont val="맑은 고딕"/>
        <family val="0"/>
        <charset val="1"/>
      </rPr>
      <t xml:space="preserve">52</t>
    </r>
    <r>
      <rPr>
        <sz val="10"/>
        <rFont val="WenQuanYi Zen Hei"/>
        <family val="2"/>
      </rPr>
      <t xml:space="preserve">시간 초과 우려자 정리 및 전달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</si>
  <si>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연장근무 사전승인 관련 플로우</t>
    </r>
  </si>
  <si>
    <t xml:space="preserve">자사 서비스 관리</t>
  </si>
  <si>
    <r>
      <rPr>
        <sz val="10"/>
        <rFont val="WenQuanYi Zen Hei"/>
        <family val="2"/>
      </rPr>
      <t xml:space="preserve">호텔 제로바타 </t>
    </r>
    <r>
      <rPr>
        <sz val="10"/>
        <rFont val="맑은 고딕"/>
        <family val="0"/>
        <charset val="1"/>
      </rPr>
      <t xml:space="preserve">QR</t>
    </r>
    <r>
      <rPr>
        <sz val="10"/>
        <rFont val="WenQuanYi Zen Hei"/>
        <family val="2"/>
      </rPr>
      <t xml:space="preserve">코드 작업 및 인쇄 요청</t>
    </r>
  </si>
  <si>
    <r>
      <rPr>
        <sz val="10"/>
        <rFont val="WenQuanYi Zen Hei"/>
        <family val="2"/>
      </rPr>
      <t xml:space="preserve">호텔 룸 번호 전달 받은 후</t>
    </r>
    <r>
      <rPr>
        <sz val="10"/>
        <rFont val="맑은 고딕"/>
        <family val="0"/>
        <charset val="1"/>
      </rPr>
      <t xml:space="preserve">, QR</t>
    </r>
    <r>
      <rPr>
        <sz val="10"/>
        <rFont val="WenQuanYi Zen Hei"/>
        <family val="2"/>
      </rPr>
      <t xml:space="preserve">코드 디자인 작업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가까운 인쇄소에서 제작 요청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현재 학림프린트 사용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</si>
  <si>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건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인쇄 제작기간 별도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</si>
  <si>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미리캔버스에서 </t>
    </r>
    <r>
      <rPr>
        <sz val="10"/>
        <rFont val="맑은 고딕"/>
        <family val="0"/>
        <charset val="1"/>
      </rPr>
      <t xml:space="preserve">QR</t>
    </r>
    <r>
      <rPr>
        <sz val="10"/>
        <rFont val="WenQuanYi Zen Hei"/>
        <family val="2"/>
      </rPr>
      <t xml:space="preserve">카드 디자인 작업</t>
    </r>
  </si>
  <si>
    <t xml:space="preserve">제로바타 데이터 세팅</t>
  </si>
  <si>
    <t xml:space="preserve">제로바타 납품 가이드 참고하여 신규 계약된 기관에는 제로바타 세팅 및 설치 진행해야함</t>
  </si>
  <si>
    <r>
      <rPr>
        <sz val="10"/>
        <rFont val="맑은 고딕"/>
        <family val="0"/>
        <charset val="1"/>
      </rPr>
      <t xml:space="preserve">4~8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기관</t>
    </r>
  </si>
  <si>
    <t xml:space="preserve">데이터 세팅 담당자와 소통하여 데이터 세팅 진행</t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</si>
  <si>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제로바타 세팅 가이드</t>
    </r>
    <r>
      <rPr>
        <sz val="10"/>
        <rFont val="맑은 고딕"/>
        <family val="0"/>
        <charset val="1"/>
      </rPr>
      <t xml:space="preserve">.pptx</t>
    </r>
  </si>
  <si>
    <t xml:space="preserve">담당자와 함께 각 고객사 현황 체크</t>
  </si>
  <si>
    <t xml:space="preserve">정부지원사업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</si>
  <si>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지원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지원사업 서칭 및 공유</t>
    </r>
  </si>
  <si>
    <t xml:space="preserve">서칭 날짜 및 적합한 사업 작성 후 대표님께 신청 여부 문의</t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</si>
  <si>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지원사업 서칭 건 전달 및 공유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_25.09.04.xlsx</t>
    </r>
  </si>
  <si>
    <t xml:space="preserve">정부지원사업 관리</t>
  </si>
  <si>
    <r>
      <rPr>
        <sz val="10"/>
        <rFont val="맑은 고딕"/>
        <family val="0"/>
        <charset val="1"/>
      </rPr>
      <t xml:space="preserve">1. </t>
    </r>
    <r>
      <rPr>
        <sz val="10"/>
        <rFont val="WenQuanYi Zen Hei"/>
        <family val="2"/>
      </rPr>
      <t xml:space="preserve">지원사업 확인
</t>
    </r>
    <r>
      <rPr>
        <sz val="10"/>
        <rFont val="맑은 고딕"/>
        <family val="0"/>
        <charset val="1"/>
      </rPr>
      <t xml:space="preserve">2. </t>
    </r>
    <r>
      <rPr>
        <sz val="10"/>
        <rFont val="WenQuanYi Zen Hei"/>
        <family val="2"/>
      </rPr>
      <t xml:space="preserve">지원사업 내용 정리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폴더 생성
</t>
    </r>
    <r>
      <rPr>
        <sz val="10"/>
        <rFont val="맑은 고딕"/>
        <family val="0"/>
        <charset val="1"/>
      </rPr>
      <t xml:space="preserve">3. </t>
    </r>
    <r>
      <rPr>
        <sz val="10"/>
        <rFont val="WenQuanYi Zen Hei"/>
        <family val="2"/>
      </rPr>
      <t xml:space="preserve">지원사업 작성 및 제출
</t>
    </r>
    <r>
      <rPr>
        <sz val="10"/>
        <rFont val="맑은 고딕"/>
        <family val="0"/>
        <charset val="1"/>
      </rPr>
      <t xml:space="preserve">4. </t>
    </r>
    <r>
      <rPr>
        <sz val="10"/>
        <rFont val="WenQuanYi Zen Hei"/>
        <family val="2"/>
      </rPr>
      <t xml:space="preserve">후속 업무 확인</t>
    </r>
  </si>
  <si>
    <r>
      <rPr>
        <sz val="10"/>
        <rFont val="맑은 고딕"/>
        <family val="0"/>
        <charset val="1"/>
      </rPr>
      <t xml:space="preserve">1~3</t>
    </r>
    <r>
      <rPr>
        <sz val="10"/>
        <rFont val="WenQuanYi Zen Hei"/>
        <family val="2"/>
      </rPr>
      <t xml:space="preserve">일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건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사업계획서 작성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제출 기준</t>
    </r>
    <r>
      <rPr>
        <sz val="10"/>
        <rFont val="맑은 고딕"/>
        <family val="0"/>
        <charset val="1"/>
      </rPr>
      <t xml:space="preserve">)</t>
    </r>
  </si>
  <si>
    <t xml:space="preserve">협약 기간 내</t>
  </si>
  <si>
    <t xml:space="preserve">정부지원사업 사업비</t>
  </si>
  <si>
    <r>
      <rPr>
        <sz val="10"/>
        <rFont val="WenQuanYi Zen Hei"/>
        <family val="2"/>
      </rPr>
      <t xml:space="preserve">사업비 신청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사업비관리지침 등 확인하여 신청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필요한 서류들 사전에 확인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반려 관련해서는 사업측 담당자와 확인</t>
    </r>
  </si>
  <si>
    <t xml:space="preserve">총무</t>
  </si>
  <si>
    <t xml:space="preserve">프린터 연결</t>
  </si>
  <si>
    <r>
      <rPr>
        <sz val="10"/>
        <rFont val="WenQuanYi Zen Hei"/>
        <family val="2"/>
      </rPr>
      <t xml:space="preserve">인쇄 업무가 많으므로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프린터 연결 및 요청 처리</t>
    </r>
  </si>
  <si>
    <t xml:space="preserve">스파크플러스 버전으로 재확인 필요</t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</si>
  <si>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노트북 초기 세팅 가이드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.xlsx</t>
    </r>
  </si>
  <si>
    <r>
      <rPr>
        <sz val="10"/>
        <rFont val="WenQuanYi Zen Hei"/>
        <family val="2"/>
      </rPr>
      <t xml:space="preserve">우편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등기 접수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</si>
  <si>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주문접수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항목 선택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대표님께 전달받은 정보로 작성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법인카드로 결제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빠른 등기로 무조건 접수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</si>
  <si>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https://dpost.co.kr/outbound/quick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</si>
  <si>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정리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지출 관련 서류 업로드</t>
    </r>
  </si>
  <si>
    <r>
      <rPr>
        <sz val="10"/>
        <rFont val="WenQuanYi Zen Hei"/>
        <family val="2"/>
      </rPr>
      <t xml:space="preserve">비정기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정기 지출을 기준으로 서류 분류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정기적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사무실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통신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세무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영업대행비 등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비정기적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상표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관세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전시 등</t>
    </r>
  </si>
  <si>
    <r>
      <rPr>
        <sz val="10"/>
        <rFont val="맑은 고딕"/>
        <family val="0"/>
        <charset val="1"/>
      </rPr>
      <t xml:space="preserve">15~30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회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</si>
  <si>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관리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서류 관리 및 업데이트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</si>
  <si>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WenQuanYi Zen Hei"/>
        <family val="2"/>
      </rPr>
      <t xml:space="preserve">관리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환경관리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로고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명함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라벨 양식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계약 관련 내용
</t>
    </r>
    <r>
      <rPr>
        <sz val="10"/>
        <rFont val="맑은 고딕"/>
        <family val="0"/>
        <charset val="1"/>
      </rPr>
      <t xml:space="preserve">2. </t>
    </r>
    <r>
      <rPr>
        <sz val="10"/>
        <rFont val="WenQuanYi Zen Hei"/>
        <family val="2"/>
      </rPr>
      <t xml:space="preserve">관리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자산관리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소모품 리스트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신규인력 물품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자산관리 리스트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</si>
  <si>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제작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명함 제작</t>
    </r>
  </si>
  <si>
    <r>
      <rPr>
        <sz val="10"/>
        <rFont val="WenQuanYi Zen Hei"/>
        <family val="2"/>
      </rPr>
      <t xml:space="preserve">대표님 요청 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기존 양식으로 디자인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와우프레스에서 주문 </t>
    </r>
    <r>
      <rPr>
        <sz val="10"/>
        <rFont val="맑은 고딕"/>
        <family val="0"/>
        <charset val="1"/>
      </rPr>
      <t xml:space="preserve">(https://wowpress.co.kr/)</t>
    </r>
  </si>
  <si>
    <t xml:space="preserve">주소지 변경으로 명함 신규 제작</t>
  </si>
  <si>
    <t xml:space="preserve">배송물품 및 우편물 수령</t>
  </si>
  <si>
    <t xml:space="preserve">커뮤니티 데스크 메일룸에서 수령</t>
  </si>
  <si>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회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</si>
  <si>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예약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용달업체 예약</t>
    </r>
  </si>
  <si>
    <r>
      <rPr>
        <sz val="10"/>
        <rFont val="WenQuanYi Zen Hei"/>
        <family val="2"/>
      </rPr>
      <t xml:space="preserve">출발지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도착지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물품 등의 정보 전달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네이버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당근 등으로 용달업체 연락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일정 예약</t>
    </r>
  </si>
  <si>
    <t xml:space="preserve">전반적인 구매 및 결제 진행</t>
  </si>
  <si>
    <r>
      <rPr>
        <sz val="10"/>
        <rFont val="WenQuanYi Zen Hei"/>
        <family val="2"/>
      </rPr>
      <t xml:space="preserve">구매물품 최저가 확인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대표님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차 컨펌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구매 진행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</si>
  <si>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계정정보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총무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</si>
  <si>
    <t xml:space="preserve">사무실 비치 약품 확인</t>
  </si>
  <si>
    <r>
      <rPr>
        <sz val="10"/>
        <rFont val="맑은 고딕"/>
        <family val="0"/>
        <charset val="1"/>
      </rPr>
      <t xml:space="preserve">15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회</t>
    </r>
  </si>
  <si>
    <t xml:space="preserve">월 정기</t>
  </si>
  <si>
    <t xml:space="preserve">회식 일정</t>
  </si>
  <si>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~1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월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일정 조율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예약</t>
    </r>
    <r>
      <rPr>
        <sz val="10"/>
        <rFont val="맑은 고딕"/>
        <family val="0"/>
        <charset val="1"/>
      </rPr>
      <t xml:space="preserve">)</t>
    </r>
  </si>
  <si>
    <t xml:space="preserve">키오스크 수령 및 운반</t>
  </si>
  <si>
    <r>
      <rPr>
        <sz val="10"/>
        <rFont val="WenQuanYi Zen Hei"/>
        <family val="2"/>
      </rPr>
      <t xml:space="preserve">화물차 관리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포터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</si>
  <si>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복지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명절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생일 지류 상품권 구매</t>
    </r>
  </si>
  <si>
    <r>
      <rPr>
        <sz val="10"/>
        <rFont val="WenQuanYi Zen Hei"/>
        <family val="2"/>
      </rPr>
      <t xml:space="preserve">명절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생일자 발생 시 대표님께 이체 요청 →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만원 백화점 상품권 구매 및 전달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</si>
  <si>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매월 생일자 확인 및 상품권 준비 예시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</si>
  <si>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확인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정기 결제 프로그램 사용 여부 확인</t>
    </r>
  </si>
  <si>
    <t xml:space="preserve">직원 정기 결제 프로그램 사용 여부 확인 → 대표님 보고</t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</si>
  <si>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정기 결제 프로그램 작성표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_25.07.29.xlsx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</si>
  <si>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작성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업무 필요경비 사용내역서 작성</t>
    </r>
  </si>
  <si>
    <t xml:space="preserve">금액이 크지 않은 지출건에 대해서는
우선 이체 후 사후 대표님에게 지출 요청</t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</si>
  <si>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업무 필요경비 사용내역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.xlsx</t>
    </r>
  </si>
  <si>
    <t xml:space="preserve">주차할인권 구매 관리</t>
  </si>
  <si>
    <r>
      <rPr>
        <sz val="10"/>
        <rFont val="WenQuanYi Zen Hei"/>
        <family val="2"/>
      </rPr>
      <t xml:space="preserve">매월 초 보유 현황 확인하여 각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장씩으로 채워놓고
월 중에도 어느 하나가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장 이하로 떨어진다면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장씩 채워넣는 방식으로 관리하고자 합니다</t>
    </r>
  </si>
  <si>
    <r>
      <rPr>
        <sz val="10"/>
        <rFont val="맑은 고딕"/>
        <family val="0"/>
        <charset val="1"/>
      </rPr>
      <t xml:space="preserve">15~20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월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</si>
  <si>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매월 초
내방객에 대해서 요청들어오면 처리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</si>
  <si>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https://tcp.kakaomobility.com/tenant/products/11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</si>
  <si>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구매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간식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사무용품 등 요청 물품 구매</t>
    </r>
  </si>
  <si>
    <r>
      <rPr>
        <sz val="10"/>
        <rFont val="WenQuanYi Zen Hei"/>
        <family val="2"/>
      </rPr>
      <t xml:space="preserve">간식은 매주 화요일에 구매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간식 예산금액 확인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사무용품은 요청 시마다 구매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</si>
  <si>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매주 화요일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</si>
  <si>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물품구매신청서</t>
    </r>
    <r>
      <rPr>
        <sz val="10"/>
        <rFont val="맑은 고딕"/>
        <family val="0"/>
        <charset val="1"/>
      </rPr>
      <t xml:space="preserve">_24.09.03.xlsx</t>
    </r>
  </si>
  <si>
    <r>
      <rPr>
        <sz val="10"/>
        <rFont val="WenQuanYi Zen Hei"/>
        <family val="2"/>
      </rPr>
      <t xml:space="preserve">사무실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창고 물품 확인 및 정리</t>
    </r>
  </si>
  <si>
    <t xml:space="preserve">선반 물품 정리</t>
  </si>
  <si>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주</t>
    </r>
  </si>
  <si>
    <t xml:space="preserve">외부 창고 미사용</t>
  </si>
  <si>
    <r>
      <rPr>
        <sz val="10"/>
        <rFont val="WenQuanYi Zen Hei"/>
        <family val="2"/>
      </rPr>
      <t xml:space="preserve">전시회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부스 운영 지원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호텔페어 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</si>
  <si>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부스 설치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운영 지원
리플렛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포스터 배송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인쇄 확인
부스 용품 추가 구매</t>
    </r>
  </si>
  <si>
    <r>
      <rPr>
        <sz val="10"/>
        <rFont val="맑은 고딕"/>
        <family val="0"/>
        <charset val="1"/>
      </rPr>
      <t xml:space="preserve">1~3</t>
    </r>
    <r>
      <rPr>
        <sz val="10"/>
        <rFont val="WenQuanYi Zen Hei"/>
        <family val="2"/>
      </rPr>
      <t xml:space="preserve">일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회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행사 기간 기준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사전 준비 별도</t>
    </r>
    <r>
      <rPr>
        <sz val="10"/>
        <rFont val="맑은 고딕"/>
        <family val="0"/>
        <charset val="1"/>
      </rPr>
      <t xml:space="preserve">)</t>
    </r>
  </si>
  <si>
    <t xml:space="preserve">회계</t>
  </si>
  <si>
    <t xml:space="preserve">현금 확인</t>
  </si>
  <si>
    <t xml:space="preserve">캐비닛에 보관하는 현금의 경우 금요일 퇴근 전 확인 후 출납장 파일에 기재
변동사항은 바로바로 기재</t>
  </si>
  <si>
    <r>
      <rPr>
        <sz val="10"/>
        <rFont val="맑은 고딕"/>
        <family val="0"/>
        <charset val="1"/>
      </rPr>
      <t xml:space="preserve">15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주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</si>
  <si>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매주 금</t>
    </r>
  </si>
  <si>
    <t xml:space="preserve">분기별</t>
  </si>
  <si>
    <t xml:space="preserve">분기별 세금 신고 진행</t>
  </si>
  <si>
    <r>
      <rPr>
        <sz val="10"/>
        <rFont val="WenQuanYi Zen Hei"/>
        <family val="2"/>
      </rPr>
      <t xml:space="preserve">매출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매입자료 확인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릭택스 문의사항 답변 및 자료 전달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대표님께 신고서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납부서 전달</t>
    </r>
  </si>
  <si>
    <r>
      <rPr>
        <sz val="10"/>
        <rFont val="맑은 고딕"/>
        <family val="0"/>
        <charset val="1"/>
      </rPr>
      <t xml:space="preserve">2~3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분기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</si>
  <si>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릭택스와는 카카오톡으로 소통</t>
    </r>
  </si>
  <si>
    <r>
      <rPr>
        <sz val="10"/>
        <rFont val="WenQuanYi Zen Hei"/>
        <family val="2"/>
      </rPr>
      <t xml:space="preserve">원천세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부가세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법인세 등 세금 신고용 자료 정리 및 업로드</t>
    </r>
  </si>
  <si>
    <r>
      <rPr>
        <sz val="10"/>
        <rFont val="WenQuanYi Zen Hei"/>
        <family val="2"/>
      </rPr>
      <t xml:space="preserve">급여 관련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급여 채널 → </t>
    </r>
    <r>
      <rPr>
        <sz val="10"/>
        <rFont val="맑은 고딕"/>
        <family val="0"/>
        <charset val="1"/>
      </rPr>
      <t xml:space="preserve">2.</t>
    </r>
    <r>
      <rPr>
        <sz val="10"/>
        <rFont val="WenQuanYi Zen Hei"/>
        <family val="2"/>
      </rPr>
      <t xml:space="preserve">급여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정규직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세금 관련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일반 채널 → </t>
    </r>
    <r>
      <rPr>
        <sz val="10"/>
        <rFont val="맑은 고딕"/>
        <family val="0"/>
        <charset val="1"/>
      </rPr>
      <t xml:space="preserve">2.</t>
    </r>
    <r>
      <rPr>
        <sz val="10"/>
        <rFont val="WenQuanYi Zen Hei"/>
        <family val="2"/>
      </rPr>
      <t xml:space="preserve">지출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세금</t>
    </r>
    <r>
      <rPr>
        <sz val="10"/>
        <rFont val="맑은 고딕"/>
        <family val="0"/>
        <charset val="1"/>
      </rPr>
      <t xml:space="preserve">, 4</t>
    </r>
    <r>
      <rPr>
        <sz val="10"/>
        <rFont val="WenQuanYi Zen Hei"/>
        <family val="2"/>
      </rPr>
      <t xml:space="preserve">대보험에 업로드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</si>
  <si>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2. </t>
    </r>
    <r>
      <rPr>
        <sz val="10"/>
        <rFont val="WenQuanYi Zen Hei"/>
        <family val="2"/>
      </rPr>
      <t xml:space="preserve">지출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세금</t>
    </r>
    <r>
      <rPr>
        <sz val="10"/>
        <rFont val="맑은 고딕"/>
        <family val="0"/>
        <charset val="1"/>
      </rPr>
      <t xml:space="preserve">, 4</t>
    </r>
    <r>
      <rPr>
        <sz val="10"/>
        <rFont val="WenQuanYi Zen Hei"/>
        <family val="2"/>
      </rPr>
      <t xml:space="preserve">대보험</t>
    </r>
  </si>
  <si>
    <r>
      <rPr>
        <sz val="10"/>
        <rFont val="WenQuanYi Zen Hei"/>
        <family val="2"/>
      </rPr>
      <t xml:space="preserve">세무 관련 문의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답변 리스트 관리</t>
    </r>
  </si>
  <si>
    <t xml:space="preserve">세무 관련 정보 리스트 정리</t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</si>
  <si>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세무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문의사항 답변 리스트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.xlsx</t>
    </r>
  </si>
  <si>
    <r>
      <rPr>
        <sz val="10"/>
        <rFont val="WenQuanYi Zen Hei"/>
        <family val="2"/>
      </rPr>
      <t xml:space="preserve">릭택스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세무대리인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와의 소통</t>
    </r>
  </si>
  <si>
    <r>
      <rPr>
        <sz val="10"/>
        <rFont val="WenQuanYi Zen Hei"/>
        <family val="2"/>
      </rPr>
      <t xml:space="preserve">카톡으로 소통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연락처</t>
    </r>
    <r>
      <rPr>
        <sz val="10"/>
        <rFont val="맑은 고딕"/>
        <family val="0"/>
        <charset val="1"/>
      </rPr>
      <t xml:space="preserve">: 02-498-2111</t>
    </r>
  </si>
  <si>
    <r>
      <rPr>
        <sz val="10"/>
        <rFont val="맑은 고딕"/>
        <family val="0"/>
        <charset val="1"/>
      </rPr>
      <t xml:space="preserve">10~20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건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</si>
  <si>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https://pf.kakao.com/_xbLsbxj</t>
    </r>
  </si>
  <si>
    <t xml:space="preserve">영업직 교통비 및 인센티브 정산</t>
  </si>
  <si>
    <r>
      <rPr>
        <sz val="10"/>
        <rFont val="WenQuanYi Zen Hei"/>
        <family val="2"/>
      </rPr>
      <t xml:space="preserve">개인 카드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법인 카드로 사용한 부분 업로드 및 인센티브 확인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</si>
  <si>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2025 </t>
    </r>
    <r>
      <rPr>
        <sz val="10"/>
        <rFont val="WenQuanYi Zen Hei"/>
        <family val="2"/>
      </rPr>
      <t xml:space="preserve">영업직 교통비 및 인센티브 정산표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.xlsx</t>
    </r>
  </si>
  <si>
    <t xml:space="preserve">연간</t>
  </si>
  <si>
    <t xml:space="preserve">연말정산 서류</t>
  </si>
  <si>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일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년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직원 자료 수합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릭택스 전달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</si>
  <si>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확인요청</t>
    </r>
    <r>
      <rPr>
        <sz val="10"/>
        <rFont val="맑은 고딕"/>
        <family val="0"/>
        <charset val="1"/>
      </rPr>
      <t xml:space="preserve">][</t>
    </r>
    <r>
      <rPr>
        <sz val="10"/>
        <rFont val="WenQuanYi Zen Hei"/>
        <family val="2"/>
      </rPr>
      <t xml:space="preserve">급여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추가근무수당 및 급여 확인요청</t>
    </r>
  </si>
  <si>
    <t xml:space="preserve">월별 추가근무수당 및 급여 확인 → 대표님 확인 → 직원별 추가근무내역 전달 → 릭택스 계산 요청
→ 급여 지출 요청</t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</si>
  <si>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3~4</t>
    </r>
    <r>
      <rPr>
        <sz val="10"/>
        <rFont val="WenQuanYi Zen Hei"/>
        <family val="2"/>
      </rPr>
      <t xml:space="preserve">일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</si>
  <si>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급여 확인 요청 예시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</si>
  <si>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전달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릭택스 계산 요청 및 급여명세서 전달</t>
    </r>
  </si>
  <si>
    <t xml:space="preserve">월간 급여 수당 및 기타사항 정리 → 릭택스 급여 시트 입력 → 계산 요청 → 급여명세서 전달</t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</si>
  <si>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일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</si>
  <si>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https://ricport.kr/payroll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</si>
  <si>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지출요청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급여 지출요청</t>
    </r>
  </si>
  <si>
    <r>
      <rPr>
        <sz val="10"/>
        <rFont val="WenQuanYi Zen Hei"/>
        <family val="2"/>
      </rPr>
      <t xml:space="preserve">급여 지급일자는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대표님께 급여 지출 요청 플래너 전달
</t>
    </r>
    <r>
      <rPr>
        <sz val="10"/>
        <rFont val="맑은 고딕"/>
        <family val="0"/>
        <charset val="1"/>
      </rPr>
      <t xml:space="preserve">(+ </t>
    </r>
    <r>
      <rPr>
        <sz val="10"/>
        <rFont val="WenQuanYi Zen Hei"/>
        <family val="2"/>
      </rPr>
      <t xml:space="preserve">급여이체확인증 공유 요청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</si>
  <si>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일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</si>
  <si>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급여 지출 요청 예시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</si>
  <si>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확인요청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유지보수 건 입금 확인 요청</t>
    </r>
  </si>
  <si>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일 유지보수 세금계산서 발행 후 대표님께 입금 확인 요청</t>
    </r>
  </si>
  <si>
    <r>
      <rPr>
        <sz val="10"/>
        <rFont val="맑은 고딕"/>
        <family val="0"/>
        <charset val="1"/>
      </rPr>
      <t xml:space="preserve">15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월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</si>
  <si>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태경사 유지보수 건 입금 확인 요청 예시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</si>
  <si>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지출요청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스페셜파트너스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이선호님 영업수수료 지출요청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</si>
  <si>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영업대행계약서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스페셜파트너스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매달 영업관리표 계약완료 시트 확인 및 스페셜파트너스 담당자와 카톡으로 소통
계좌번호 </t>
    </r>
    <r>
      <rPr>
        <sz val="10"/>
        <rFont val="맑은 고딕"/>
        <family val="0"/>
        <charset val="1"/>
      </rPr>
      <t xml:space="preserve">: 110-597-0493427
</t>
    </r>
    <r>
      <rPr>
        <sz val="10"/>
        <rFont val="WenQuanYi Zen Hei"/>
        <family val="2"/>
      </rPr>
      <t xml:space="preserve">예금주 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전덕환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스페셜파트너스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</si>
  <si>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익월 말일까지로 변경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</si>
  <si>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영업 정산표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스페셜파트너스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.xlsx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</si>
  <si>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지출요청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원천세 지출요청</t>
    </r>
  </si>
  <si>
    <r>
      <rPr>
        <sz val="10"/>
        <rFont val="WenQuanYi Zen Hei"/>
        <family val="2"/>
      </rPr>
      <t xml:space="preserve">원천세 납부일자는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신고서 및 납부서는 릭택스에서 전달받고 대표님께 게시물 및 플래너로 지출 요청</t>
    </r>
  </si>
  <si>
    <r>
      <rPr>
        <sz val="10"/>
        <rFont val="맑은 고딕"/>
        <family val="0"/>
        <charset val="1"/>
      </rPr>
      <t xml:space="preserve">20~30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월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</si>
  <si>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일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</si>
  <si>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원천세 지출 요청 예시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</si>
  <si>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지출요청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사무실 사용료 지출요청</t>
    </r>
  </si>
  <si>
    <t xml:space="preserve">스파크플러스 어드민</t>
  </si>
  <si>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월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</si>
  <si>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영업일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일 이내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</si>
  <si>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근무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추가근무수당내역 업데이트</t>
    </r>
  </si>
  <si>
    <r>
      <rPr>
        <sz val="10"/>
        <rFont val="WenQuanYi Zen Hei"/>
        <family val="2"/>
      </rPr>
      <t xml:space="preserve">시프티 근무일정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출퇴근기록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팀즈 근태채팅방 확인 및 캡처본을 추가근무수당내역에 업데이트</t>
    </r>
    <r>
      <rPr>
        <sz val="10"/>
        <rFont val="맑은 고딕"/>
        <family val="0"/>
        <charset val="1"/>
      </rPr>
      <t xml:space="preserve">,
</t>
    </r>
    <r>
      <rPr>
        <sz val="10"/>
        <rFont val="WenQuanYi Zen Hei"/>
        <family val="2"/>
      </rPr>
      <t xml:space="preserve">아르바이트 실제 근무 시간 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프린트된 근무일지 참고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</si>
  <si>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직원별 근무수당 계산식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_24.10.29.xlsx</t>
    </r>
  </si>
  <si>
    <t xml:space="preserve">인원 별 사비 지출 내역 정리</t>
  </si>
  <si>
    <r>
      <rPr>
        <sz val="10"/>
        <rFont val="WenQuanYi Zen Hei"/>
        <family val="2"/>
      </rPr>
      <t xml:space="preserve">부득이한 사정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간편성을 위해 소액의 지출이 필요한 경우
경영지원팀이나 개인이 사비 지출한 것을 정리
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한 번에 취합해서 익월 급여일에 정산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공제 항목에 마이너스로 입력</t>
    </r>
    <r>
      <rPr>
        <sz val="10"/>
        <rFont val="맑은 고딕"/>
        <family val="0"/>
        <charset val="1"/>
      </rPr>
      <t xml:space="preserve">)
</t>
    </r>
    <r>
      <rPr>
        <sz val="10"/>
        <rFont val="WenQuanYi Zen Hei"/>
        <family val="2"/>
      </rPr>
      <t xml:space="preserve">경영지원 전도금 계좌에서 이체</t>
    </r>
  </si>
  <si>
    <r>
      <rPr>
        <sz val="10"/>
        <rFont val="WenQuanYi Zen Hei"/>
        <family val="2"/>
      </rPr>
      <t xml:space="preserve">제로바타 기관별 입금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정산 소통</t>
    </r>
  </si>
  <si>
    <r>
      <rPr>
        <sz val="10"/>
        <rFont val="WenQuanYi Zen Hei"/>
        <family val="2"/>
      </rPr>
      <t xml:space="preserve">기관별 입금 확인 및 미수금 독촉
청구방식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선납금 관련 확정 소통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경기도미술관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국립어린이과학관 등</t>
    </r>
    <r>
      <rPr>
        <sz val="10"/>
        <rFont val="맑은 고딕"/>
        <family val="0"/>
        <charset val="1"/>
      </rPr>
      <t xml:space="preserve">)</t>
    </r>
  </si>
  <si>
    <t xml:space="preserve">페이버스 관리</t>
  </si>
  <si>
    <r>
      <rPr>
        <sz val="10"/>
        <rFont val="WenQuanYi Zen Hei"/>
        <family val="2"/>
      </rPr>
      <t xml:space="preserve">제로트립 서비스 결제를 위한 </t>
    </r>
    <r>
      <rPr>
        <sz val="10"/>
        <rFont val="맑은 고딕"/>
        <family val="0"/>
        <charset val="1"/>
      </rPr>
      <t xml:space="preserve">PG</t>
    </r>
    <r>
      <rPr>
        <sz val="10"/>
        <rFont val="WenQuanYi Zen Hei"/>
        <family val="2"/>
      </rPr>
      <t xml:space="preserve">사
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다만 이전에 테스트용으로 만든 샌드박스 계정이 있어 혼선 주의</t>
    </r>
  </si>
  <si>
    <t xml:space="preserve">원본에 빈도 미기재 → 비정기로 정리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</si>
  <si>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예약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주간회의 회의실 예약</t>
    </r>
  </si>
  <si>
    <r>
      <rPr>
        <sz val="10"/>
        <rFont val="WenQuanYi Zen Hei"/>
        <family val="2"/>
      </rPr>
      <t xml:space="preserve">전체회의 매주 화요일 오전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시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분 진행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대표님 일정 확인 후 회의실 예약</t>
    </r>
  </si>
  <si>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주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</si>
  <si>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매주
</t>
    </r>
    <r>
      <rPr>
        <sz val="10"/>
        <rFont val="맑은 고딕"/>
        <family val="0"/>
        <charset val="1"/>
      </rPr>
      <t xml:space="preserve">26.01 </t>
    </r>
    <r>
      <rPr>
        <sz val="10"/>
        <rFont val="WenQuanYi Zen Hei"/>
        <family val="2"/>
      </rPr>
      <t xml:space="preserve">이전 시트 항목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스파크플러스 회의실은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주 전부터 예약 가능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</si>
  <si>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위워크 사용 가이드</t>
    </r>
    <r>
      <rPr>
        <sz val="10"/>
        <rFont val="맑은 고딕"/>
        <family val="0"/>
        <charset val="1"/>
      </rPr>
      <t xml:space="preserve">_25.01.15.xlsx (</t>
    </r>
    <r>
      <rPr>
        <sz val="10"/>
        <rFont val="WenQuanYi Zen Hei"/>
        <family val="2"/>
      </rPr>
      <t xml:space="preserve">현재는 스파크플러스 웹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앱 예약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</si>
  <si>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업데이트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금주 팀별 회의록 및 공용 가이드 업데이트</t>
    </r>
  </si>
  <si>
    <t xml:space="preserve">매주 부팀장 주간회의 진행 후 회의록 및 가이드 업데이트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</si>
  <si>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주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</si>
  <si>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매주 수요일
</t>
    </r>
    <r>
      <rPr>
        <sz val="10"/>
        <rFont val="맑은 고딕"/>
        <family val="0"/>
        <charset val="1"/>
      </rPr>
      <t xml:space="preserve">26.01 </t>
    </r>
    <r>
      <rPr>
        <sz val="10"/>
        <rFont val="WenQuanYi Zen Hei"/>
        <family val="2"/>
      </rPr>
      <t xml:space="preserve">이전 시트 항목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</si>
  <si>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팀별 주간 회의록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.xlsx</t>
    </r>
  </si>
  <si>
    <r>
      <rPr>
        <sz val="10"/>
        <rFont val="WenQuanYi Zen Hei"/>
        <family val="2"/>
      </rPr>
      <t xml:space="preserve">주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전체 회의 진행</t>
    </r>
  </si>
  <si>
    <r>
      <rPr>
        <sz val="10"/>
        <rFont val="WenQuanYi Zen Hei"/>
        <family val="2"/>
      </rPr>
      <t xml:space="preserve">회의 주요 안건 및 전달 사항 공유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회의 결과 및 논의 내용은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주간회의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게시판에 정리 업로드</t>
    </r>
  </si>
  <si>
    <r>
      <rPr>
        <sz val="10"/>
        <rFont val="맑은 고딕"/>
        <family val="0"/>
        <charset val="1"/>
      </rPr>
      <t xml:space="preserve">1.5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주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회의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게시판 정리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</si>
  <si>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매주 화요일
</t>
    </r>
    <r>
      <rPr>
        <sz val="10"/>
        <rFont val="맑은 고딕"/>
        <family val="0"/>
        <charset val="1"/>
      </rPr>
      <t xml:space="preserve">26.01 </t>
    </r>
    <r>
      <rPr>
        <sz val="10"/>
        <rFont val="WenQuanYi Zen Hei"/>
        <family val="2"/>
      </rPr>
      <t xml:space="preserve">이전 시트 항목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</si>
  <si>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주간회의 진행 예시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</si>
  <si>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전달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제로바타 월간 리포트 전달</t>
    </r>
  </si>
  <si>
    <r>
      <rPr>
        <sz val="10"/>
        <rFont val="WenQuanYi Zen Hei"/>
        <family val="2"/>
      </rPr>
      <t xml:space="preserve">현재 매월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일 국립어린이과학관 월간 리포트 전달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메일로 전달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</si>
  <si>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일
</t>
    </r>
    <r>
      <rPr>
        <sz val="10"/>
        <rFont val="맑은 고딕"/>
        <family val="0"/>
        <charset val="1"/>
      </rPr>
      <t xml:space="preserve">26.01 </t>
    </r>
    <r>
      <rPr>
        <sz val="10"/>
        <rFont val="WenQuanYi Zen Hei"/>
        <family val="2"/>
      </rPr>
      <t xml:space="preserve">이전 시트 항목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</si>
  <si>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제로바타 월간 보고서 작성가이드</t>
    </r>
    <r>
      <rPr>
        <sz val="10"/>
        <rFont val="맑은 고딕"/>
        <family val="0"/>
        <charset val="1"/>
      </rPr>
      <t xml:space="preserve">.pptx</t>
    </r>
  </si>
  <si>
    <t xml:space="preserve">스파크플러스 정기 주차 문의 회신 받기</t>
  </si>
  <si>
    <r>
      <rPr>
        <sz val="10"/>
        <rFont val="맑은 고딕"/>
        <family val="0"/>
        <charset val="1"/>
      </rPr>
      <t xml:space="preserve">15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회신 확인</t>
    </r>
    <r>
      <rPr>
        <sz val="10"/>
        <rFont val="맑은 고딕"/>
        <family val="0"/>
        <charset val="1"/>
      </rPr>
      <t xml:space="preserve">)</t>
    </r>
  </si>
  <si>
    <t xml:space="preserve">진행 중</t>
  </si>
  <si>
    <r>
      <rPr>
        <sz val="10"/>
        <rFont val="맑은 고딕"/>
        <family val="0"/>
        <charset val="1"/>
      </rPr>
      <t xml:space="preserve">26.01 </t>
    </r>
    <r>
      <rPr>
        <sz val="10"/>
        <rFont val="WenQuanYi Zen Hei"/>
        <family val="2"/>
      </rPr>
      <t xml:space="preserve">이전 시트 기준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진행 중</t>
    </r>
    <r>
      <rPr>
        <sz val="10"/>
        <rFont val="맑은 고딕"/>
        <family val="0"/>
        <charset val="1"/>
      </rPr>
      <t xml:space="preserve">' → </t>
    </r>
    <r>
      <rPr>
        <sz val="10"/>
        <rFont val="WenQuanYi Zen Hei"/>
        <family val="2"/>
      </rPr>
      <t xml:space="preserve">현재 상태 확인 필요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</si>
  <si>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스파크플러스 정기주차 관련 문의</t>
    </r>
    <r>
      <rPr>
        <sz val="10"/>
        <rFont val="맑은 고딕"/>
        <family val="0"/>
        <charset val="1"/>
      </rPr>
      <t xml:space="preserve">.pdf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</si>
  <si>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테스트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시프티 팀즈 연동 테스트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</si>
  <si>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시프티 팀즈 연동은 최고관리자인 대표님만 최초 등록이 가능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현재 대표님의 시프티 계정이 파이낸스 메일로 등록되어 있어서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먼저 </t>
    </r>
    <r>
      <rPr>
        <sz val="10"/>
        <rFont val="맑은 고딕"/>
        <family val="0"/>
        <charset val="1"/>
      </rPr>
      <t xml:space="preserve">ceo@xerost.ai</t>
    </r>
    <r>
      <rPr>
        <sz val="10"/>
        <rFont val="WenQuanYi Zen Hei"/>
        <family val="2"/>
      </rPr>
      <t xml:space="preserve">로 변경한 후 메일 인증을 진행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메일 변경이 완료되면 다시 연동을 진행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연동 시도하면 계속 오류 발생해서 보류중 </t>
    </r>
    <r>
      <rPr>
        <sz val="10"/>
        <rFont val="맑은 고딕"/>
        <family val="0"/>
        <charset val="1"/>
      </rPr>
      <t xml:space="preserve">(24.12.24)</t>
    </r>
  </si>
  <si>
    <t xml:space="preserve">시작 전</t>
  </si>
  <si>
    <r>
      <rPr>
        <sz val="10"/>
        <rFont val="WenQuanYi Zen Hei"/>
        <family val="2"/>
      </rPr>
      <t xml:space="preserve">연동 오류로 보류 중 </t>
    </r>
    <r>
      <rPr>
        <sz val="10"/>
        <rFont val="맑은 고딕"/>
        <family val="0"/>
        <charset val="1"/>
      </rPr>
      <t xml:space="preserve">(24.12.24)</t>
    </r>
  </si>
  <si>
    <r>
      <rPr>
        <sz val="10"/>
        <rFont val="맑은 고딕"/>
        <family val="0"/>
        <charset val="1"/>
      </rPr>
      <t xml:space="preserve">26.01 </t>
    </r>
    <r>
      <rPr>
        <sz val="10"/>
        <rFont val="WenQuanYi Zen Hei"/>
        <family val="2"/>
      </rPr>
      <t xml:space="preserve">이전 시트 기준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진행 예정</t>
    </r>
    <r>
      <rPr>
        <sz val="10"/>
        <rFont val="맑은 고딕"/>
        <family val="0"/>
        <charset val="1"/>
      </rPr>
      <t xml:space="preserve">'(</t>
    </r>
    <r>
      <rPr>
        <sz val="10"/>
        <rFont val="WenQuanYi Zen Hei"/>
        <family val="2"/>
      </rPr>
      <t xml:space="preserve">보류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</si>
  <si>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시프티 접속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회사설정 </t>
    </r>
    <r>
      <rPr>
        <sz val="10"/>
        <rFont val="맑은 고딕"/>
        <family val="0"/>
        <charset val="1"/>
      </rPr>
      <t xml:space="preserve">-&gt; Microsoft </t>
    </r>
    <r>
      <rPr>
        <sz val="10"/>
        <rFont val="WenQuanYi Zen Hei"/>
        <family val="2"/>
      </rPr>
      <t xml:space="preserve">캘린더 연동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연결하기</t>
    </r>
  </si>
  <si>
    <r>
      <rPr>
        <sz val="10"/>
        <rFont val="WenQuanYi Zen Hei"/>
        <family val="2"/>
      </rPr>
      <t xml:space="preserve">현재 채용 진행 중인 직무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경영지원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물류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영업보조</t>
    </r>
  </si>
  <si>
    <r>
      <rPr>
        <sz val="10"/>
        <rFont val="WenQuanYi Zen Hei"/>
        <family val="2"/>
      </rPr>
      <t xml:space="preserve">잡코리아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사람인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알바몬을 통해 인력 채용 중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지원자 리스트 수시 업데이트</t>
    </r>
  </si>
  <si>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일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공고 게재 기간 중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</si>
  <si>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26.01 </t>
    </r>
    <r>
      <rPr>
        <sz val="10"/>
        <rFont val="WenQuanYi Zen Hei"/>
        <family val="2"/>
      </rPr>
      <t xml:space="preserve">이전 시트 기준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진행 중</t>
    </r>
    <r>
      <rPr>
        <sz val="10"/>
        <rFont val="맑은 고딕"/>
        <family val="0"/>
        <charset val="1"/>
      </rPr>
      <t xml:space="preserve">' → </t>
    </r>
    <r>
      <rPr>
        <sz val="10"/>
        <rFont val="WenQuanYi Zen Hei"/>
        <family val="2"/>
      </rPr>
      <t xml:space="preserve">현재 채용 현황 확인 필요</t>
    </r>
  </si>
  <si>
    <t xml:space="preserve">오피스 이전</t>
  </si>
  <si>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31</t>
    </r>
    <r>
      <rPr>
        <sz val="10"/>
        <rFont val="WenQuanYi Zen Hei"/>
        <family val="2"/>
      </rPr>
      <t xml:space="preserve">일 위워크 계약 해지</t>
    </r>
    <r>
      <rPr>
        <sz val="10"/>
        <rFont val="맑은 고딕"/>
        <family val="0"/>
        <charset val="1"/>
      </rPr>
      <t xml:space="preserve">, 2025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월부터 스파크플러스 코엑스점으로 이전</t>
    </r>
  </si>
  <si>
    <r>
      <rPr>
        <sz val="10"/>
        <rFont val="맑은 고딕"/>
        <family val="0"/>
        <charset val="1"/>
      </rPr>
      <t xml:space="preserve">2~3</t>
    </r>
    <r>
      <rPr>
        <sz val="10"/>
        <rFont val="WenQuanYi Zen Hei"/>
        <family val="2"/>
      </rPr>
      <t xml:space="preserve">일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이사 전후 업무 리스트 기준</t>
    </r>
    <r>
      <rPr>
        <sz val="10"/>
        <rFont val="맑은 고딕"/>
        <family val="0"/>
        <charset val="1"/>
      </rPr>
      <t xml:space="preserve">)</t>
    </r>
  </si>
  <si>
    <t xml:space="preserve">완료</t>
  </si>
  <si>
    <t xml:space="preserve">등기 이전까지 완료</t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</si>
  <si>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12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31</t>
    </r>
    <r>
      <rPr>
        <sz val="10"/>
        <rFont val="WenQuanYi Zen Hei"/>
        <family val="2"/>
      </rPr>
      <t xml:space="preserve">일
</t>
    </r>
    <r>
      <rPr>
        <sz val="10"/>
        <rFont val="맑은 고딕"/>
        <family val="0"/>
        <charset val="1"/>
      </rPr>
      <t xml:space="preserve">26.01 </t>
    </r>
    <r>
      <rPr>
        <sz val="10"/>
        <rFont val="WenQuanYi Zen Hei"/>
        <family val="2"/>
      </rPr>
      <t xml:space="preserve">이전 시트 항목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완료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</si>
  <si>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경영지원 신민혜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대보험 퇴직신고</t>
    </r>
  </si>
  <si>
    <r>
      <rPr>
        <sz val="10"/>
        <rFont val="WenQuanYi Zen Hei"/>
        <family val="2"/>
      </rPr>
      <t xml:space="preserve">릭택스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직원관리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직원 클릭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재직상태 클릭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퇴직일 및 퇴사사유 선택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퇴직 처리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사회보험 신고 요청</t>
    </r>
  </si>
  <si>
    <r>
      <rPr>
        <sz val="10"/>
        <rFont val="WenQuanYi Zen Hei"/>
        <family val="2"/>
      </rPr>
      <t xml:space="preserve">완료 </t>
    </r>
    <r>
      <rPr>
        <sz val="10"/>
        <rFont val="맑은 고딕"/>
        <family val="0"/>
        <charset val="1"/>
      </rPr>
      <t xml:space="preserve">(12.17)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</si>
  <si>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12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19</t>
    </r>
    <r>
      <rPr>
        <sz val="10"/>
        <rFont val="WenQuanYi Zen Hei"/>
        <family val="2"/>
      </rPr>
      <t xml:space="preserve">일까지
</t>
    </r>
    <r>
      <rPr>
        <sz val="10"/>
        <rFont val="맑은 고딕"/>
        <family val="0"/>
        <charset val="1"/>
      </rPr>
      <t xml:space="preserve">26.01 </t>
    </r>
    <r>
      <rPr>
        <sz val="10"/>
        <rFont val="WenQuanYi Zen Hei"/>
        <family val="2"/>
      </rPr>
      <t xml:space="preserve">이전 시트 항목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완료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</si>
  <si>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https://ricport.kr/employee?page_name=employee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</si>
  <si>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지출요청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사무실</t>
    </r>
    <r>
      <rPr>
        <sz val="10"/>
        <rFont val="맑은 고딕"/>
        <family val="0"/>
        <charset val="1"/>
      </rPr>
      <t xml:space="preserve">2((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엔디고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이든비즈 임대료 지출요청</t>
    </r>
  </si>
  <si>
    <r>
      <rPr>
        <sz val="10"/>
        <rFont val="WenQuanYi Zen Hei"/>
        <family val="2"/>
      </rPr>
      <t xml:space="preserve">㈜엔디고 이든비즈 계약서</t>
    </r>
    <r>
      <rPr>
        <sz val="10"/>
        <rFont val="맑은 고딕"/>
        <family val="0"/>
        <charset val="1"/>
      </rPr>
      <t xml:space="preserve">, 25.12</t>
    </r>
    <r>
      <rPr>
        <sz val="10"/>
        <rFont val="WenQuanYi Zen Hei"/>
        <family val="2"/>
      </rPr>
      <t xml:space="preserve">월까지만 사용</t>
    </r>
  </si>
  <si>
    <r>
      <rPr>
        <sz val="10"/>
        <rFont val="맑은 고딕"/>
        <family val="0"/>
        <charset val="1"/>
      </rPr>
      <t xml:space="preserve">25.12</t>
    </r>
    <r>
      <rPr>
        <sz val="10"/>
        <rFont val="WenQuanYi Zen Hei"/>
        <family val="2"/>
      </rPr>
      <t xml:space="preserve">월 계약 종료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</si>
  <si>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13</t>
    </r>
    <r>
      <rPr>
        <sz val="10"/>
        <rFont val="WenQuanYi Zen Hei"/>
        <family val="2"/>
      </rPr>
      <t xml:space="preserve">일
</t>
    </r>
    <r>
      <rPr>
        <sz val="10"/>
        <rFont val="맑은 고딕"/>
        <family val="0"/>
        <charset val="1"/>
      </rPr>
      <t xml:space="preserve">26.01 </t>
    </r>
    <r>
      <rPr>
        <sz val="10"/>
        <rFont val="WenQuanYi Zen Hei"/>
        <family val="2"/>
      </rPr>
      <t xml:space="preserve">이전 시트 항목</t>
    </r>
    <r>
      <rPr>
        <sz val="10"/>
        <rFont val="맑은 고딕"/>
        <family val="0"/>
        <charset val="1"/>
      </rPr>
      <t xml:space="preserve">. 25.12</t>
    </r>
    <r>
      <rPr>
        <sz val="10"/>
        <rFont val="WenQuanYi Zen Hei"/>
        <family val="2"/>
      </rPr>
      <t xml:space="preserve">월 사용 종료로 현재 미진행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</si>
  <si>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엔디고 이든비즈 임대료 지출요청 예시</t>
    </r>
  </si>
  <si>
    <t xml:space="preserve">시프티 사무실 주소 변경</t>
  </si>
  <si>
    <r>
      <rPr>
        <sz val="10"/>
        <rFont val="맑은 고딕"/>
        <family val="0"/>
        <charset val="1"/>
      </rPr>
      <t xml:space="preserve">15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건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</si>
  <si>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2025.12.31
26.01 </t>
    </r>
    <r>
      <rPr>
        <sz val="10"/>
        <rFont val="WenQuanYi Zen Hei"/>
        <family val="2"/>
      </rPr>
      <t xml:space="preserve">이전 시트 항목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완료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</si>
  <si>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시프티 접속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관리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출퇴근 장소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등록된 출퇴근 장소명 클릭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근무지 주소 입력 후 돋보기 클릭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지도 내 좌표 등록 확인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변경사항 저장</t>
    </r>
  </si>
  <si>
    <r>
      <rPr>
        <sz val="10"/>
        <rFont val="맑은 고딕"/>
        <family val="0"/>
        <charset val="1"/>
      </rPr>
      <t xml:space="preserve">2025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월 코엑스 호텔페어 전시</t>
    </r>
  </si>
  <si>
    <r>
      <rPr>
        <sz val="10"/>
        <rFont val="맑은 고딕"/>
        <family val="0"/>
        <charset val="1"/>
      </rPr>
      <t xml:space="preserve">2026.01.21 ~2026.01.23 </t>
    </r>
    <r>
      <rPr>
        <sz val="10"/>
        <rFont val="WenQuanYi Zen Hei"/>
        <family val="2"/>
      </rPr>
      <t xml:space="preserve">코엑스에서 전시 진행
</t>
    </r>
    <r>
      <rPr>
        <sz val="10"/>
        <rFont val="맑은 고딕"/>
        <family val="0"/>
        <charset val="1"/>
      </rPr>
      <t xml:space="preserve">* </t>
    </r>
    <r>
      <rPr>
        <sz val="10"/>
        <rFont val="WenQuanYi Zen Hei"/>
        <family val="2"/>
      </rPr>
      <t xml:space="preserve">리플렛 주문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성원애드피아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</si>
  <si>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일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행사 기간</t>
    </r>
    <r>
      <rPr>
        <sz val="10"/>
        <rFont val="맑은 고딕"/>
        <family val="0"/>
        <charset val="1"/>
      </rPr>
      <t xml:space="preserve">) + </t>
    </r>
    <r>
      <rPr>
        <sz val="10"/>
        <rFont val="WenQuanYi Zen Hei"/>
        <family val="2"/>
      </rPr>
      <t xml:space="preserve">사전 준비 </t>
    </r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일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</si>
  <si>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2026.01.21~01.23
26.01 </t>
    </r>
    <r>
      <rPr>
        <sz val="10"/>
        <rFont val="WenQuanYi Zen Hei"/>
        <family val="2"/>
      </rPr>
      <t xml:space="preserve">이전 시트 기준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진행 예정</t>
    </r>
    <r>
      <rPr>
        <sz val="10"/>
        <rFont val="맑은 고딕"/>
        <family val="0"/>
        <charset val="1"/>
      </rPr>
      <t xml:space="preserve">' → </t>
    </r>
    <r>
      <rPr>
        <sz val="10"/>
        <rFont val="WenQuanYi Zen Hei"/>
        <family val="2"/>
      </rPr>
      <t xml:space="preserve">전시 기간 경과</t>
    </r>
  </si>
  <si>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제로바타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팔레트 일반 채널 </t>
    </r>
    <r>
      <rPr>
        <sz val="10"/>
        <rFont val="맑은 고딕"/>
        <family val="0"/>
        <charset val="1"/>
      </rPr>
      <t xml:space="preserve">-&gt; AI </t>
    </r>
    <r>
      <rPr>
        <sz val="10"/>
        <rFont val="WenQuanYi Zen Hei"/>
        <family val="2"/>
      </rPr>
      <t xml:space="preserve">전시 </t>
    </r>
    <r>
      <rPr>
        <sz val="10"/>
        <rFont val="맑은 고딕"/>
        <family val="0"/>
        <charset val="1"/>
      </rPr>
      <t xml:space="preserve">-&gt; 26.01.21 ~26.01.23_</t>
    </r>
    <r>
      <rPr>
        <sz val="10"/>
        <rFont val="WenQuanYi Zen Hei"/>
        <family val="2"/>
      </rPr>
      <t xml:space="preserve">호텔페어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</si>
  <si>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전달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국립어린이과학관 월간 리포트 전달</t>
    </r>
  </si>
  <si>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, 12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31</t>
    </r>
    <r>
      <rPr>
        <sz val="10"/>
        <rFont val="WenQuanYi Zen Hei"/>
        <family val="2"/>
      </rPr>
      <t xml:space="preserve">일 국립어린이과학관 월간 리포트 전달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총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회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요청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</si>
  <si>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월 초 전달 완료</t>
    </r>
  </si>
  <si>
    <r>
      <rPr>
        <sz val="10"/>
        <rFont val="WenQuanYi Zen Hei"/>
        <family val="2"/>
      </rPr>
      <t xml:space="preserve">수행일자</t>
    </r>
    <r>
      <rPr>
        <sz val="10"/>
        <rFont val="맑은 고딕"/>
        <family val="0"/>
        <charset val="1"/>
      </rPr>
      <t xml:space="preserve">: 12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/31</t>
    </r>
    <r>
      <rPr>
        <sz val="10"/>
        <rFont val="WenQuanYi Zen Hei"/>
        <family val="2"/>
      </rPr>
      <t xml:space="preserve">일
</t>
    </r>
    <r>
      <rPr>
        <sz val="10"/>
        <rFont val="맑은 고딕"/>
        <family val="0"/>
        <charset val="1"/>
      </rPr>
      <t xml:space="preserve">26.01 </t>
    </r>
    <r>
      <rPr>
        <sz val="10"/>
        <rFont val="WenQuanYi Zen Hei"/>
        <family val="2"/>
      </rPr>
      <t xml:space="preserve">이전 시트 항목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완료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</si>
  <si>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20"/>
        <rFont val="WenQuanYi Zen Hei"/>
        <family val="2"/>
      </rPr>
      <t xml:space="preserve">채용</t>
    </r>
    <r>
      <rPr>
        <b val="true"/>
        <sz val="20"/>
        <rFont val="맑은 고딕"/>
        <family val="0"/>
        <charset val="1"/>
      </rPr>
      <t xml:space="preserve">·</t>
    </r>
    <r>
      <rPr>
        <b val="true"/>
        <sz val="20"/>
        <rFont val="WenQuanYi Zen Hei"/>
        <family val="2"/>
      </rPr>
      <t xml:space="preserve">입사 프로세스</t>
    </r>
  </si>
  <si>
    <r>
      <rPr>
        <sz val="10"/>
        <color rgb="FF595959"/>
        <rFont val="WenQuanYi Zen Hei"/>
        <family val="2"/>
      </rPr>
      <t xml:space="preserve">원본</t>
    </r>
    <r>
      <rPr>
        <sz val="10"/>
        <color rgb="FF595959"/>
        <rFont val="맑은 고딕"/>
        <family val="0"/>
        <charset val="1"/>
      </rPr>
      <t xml:space="preserve">: '</t>
    </r>
    <r>
      <rPr>
        <sz val="10"/>
        <color rgb="FF595959"/>
        <rFont val="WenQuanYi Zen Hei"/>
        <family val="2"/>
      </rPr>
      <t xml:space="preserve">채용</t>
    </r>
    <r>
      <rPr>
        <sz val="10"/>
        <color rgb="FF595959"/>
        <rFont val="맑은 고딕"/>
        <family val="0"/>
        <charset val="1"/>
      </rPr>
      <t xml:space="preserve">, </t>
    </r>
    <r>
      <rPr>
        <sz val="10"/>
        <color rgb="FF595959"/>
        <rFont val="WenQuanYi Zen Hei"/>
        <family val="2"/>
      </rPr>
      <t xml:space="preserve">입사</t>
    </r>
    <r>
      <rPr>
        <sz val="10"/>
        <color rgb="FF595959"/>
        <rFont val="맑은 고딕"/>
        <family val="0"/>
        <charset val="1"/>
      </rPr>
      <t xml:space="preserve">' </t>
    </r>
    <r>
      <rPr>
        <sz val="10"/>
        <color rgb="FF595959"/>
        <rFont val="WenQuanYi Zen Hei"/>
        <family val="2"/>
      </rPr>
      <t xml:space="preserve">시트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신규 인력 채용 시 순서대로 진행하는 업무 </t>
    </r>
    <r>
      <rPr>
        <sz val="10"/>
        <color rgb="FF595959"/>
        <rFont val="맑은 고딕"/>
        <family val="0"/>
        <charset val="1"/>
      </rPr>
      <t xml:space="preserve">(16</t>
    </r>
    <r>
      <rPr>
        <sz val="10"/>
        <color rgb="FF595959"/>
        <rFont val="WenQuanYi Zen Hei"/>
        <family val="2"/>
      </rPr>
      <t xml:space="preserve">건</t>
    </r>
    <r>
      <rPr>
        <sz val="10"/>
        <color rgb="FF595959"/>
        <rFont val="맑은 고딕"/>
        <family val="0"/>
        <charset val="1"/>
      </rPr>
      <t xml:space="preserve">). </t>
    </r>
    <r>
      <rPr>
        <sz val="10"/>
        <color rgb="FF595959"/>
        <rFont val="WenQuanYi Zen Hei"/>
        <family val="2"/>
      </rPr>
      <t xml:space="preserve">예상 소요시간은 </t>
    </r>
    <r>
      <rPr>
        <sz val="10"/>
        <color rgb="FF595959"/>
        <rFont val="맑은 고딕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회</t>
    </r>
    <r>
      <rPr>
        <sz val="10"/>
        <color rgb="FF595959"/>
        <rFont val="맑은 고딕"/>
        <family val="0"/>
        <charset val="1"/>
      </rPr>
      <t xml:space="preserve">·1</t>
    </r>
    <r>
      <rPr>
        <sz val="10"/>
        <color rgb="FF595959"/>
        <rFont val="WenQuanYi Zen Hei"/>
        <family val="2"/>
      </rPr>
      <t xml:space="preserve">인 기준</t>
    </r>
    <r>
      <rPr>
        <sz val="10"/>
        <color rgb="FF595959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</si>
  <si>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비정기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채용 시</t>
    </r>
    <r>
      <rPr>
        <sz val="10"/>
        <rFont val="맑은 고딕"/>
        <family val="0"/>
        <charset val="1"/>
      </rPr>
      <t xml:space="preserve">)</t>
    </r>
  </si>
  <si>
    <t xml:space="preserve">채용공고 내용 작성 및 상세페이지 제작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</si>
  <si>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차 채용공고 내용 작성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대표님 컨펌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상세페이지 제작</t>
    </r>
  </si>
  <si>
    <r>
      <rPr>
        <sz val="10"/>
        <rFont val="맑은 고딕"/>
        <family val="0"/>
        <charset val="1"/>
      </rPr>
      <t xml:space="preserve">2~3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직무</t>
    </r>
  </si>
  <si>
    <r>
      <rPr>
        <sz val="10"/>
        <rFont val="WenQuanYi Zen Hei"/>
        <family val="2"/>
      </rPr>
      <t xml:space="preserve">가이드</t>
    </r>
    <r>
      <rPr>
        <sz val="10"/>
        <rFont val="맑은 고딕"/>
        <family val="0"/>
        <charset val="1"/>
      </rPr>
      <t xml:space="preserve">: 3. </t>
    </r>
    <r>
      <rPr>
        <sz val="10"/>
        <rFont val="WenQuanYi Zen Hei"/>
        <family val="2"/>
      </rPr>
      <t xml:space="preserve">채용공고</t>
    </r>
  </si>
  <si>
    <t xml:space="preserve">채용공고 업로드</t>
  </si>
  <si>
    <r>
      <rPr>
        <sz val="10"/>
        <rFont val="WenQuanYi Zen Hei"/>
        <family val="2"/>
      </rPr>
      <t xml:space="preserve">채용공고를 구인구직 사이트에 업로드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인사 채널 계정 정보 확인</t>
    </r>
  </si>
  <si>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~1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직무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</si>
  <si>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필요시</t>
    </r>
    <r>
      <rPr>
        <sz val="10"/>
        <rFont val="맑은 고딕"/>
        <family val="0"/>
        <charset val="1"/>
      </rPr>
      <t xml:space="preserve">)[</t>
    </r>
    <r>
      <rPr>
        <sz val="10"/>
        <rFont val="WenQuanYi Zen Hei"/>
        <family val="2"/>
      </rPr>
      <t xml:space="preserve">결제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잡코리아 유료상품 결제</t>
    </r>
  </si>
  <si>
    <r>
      <rPr>
        <sz val="10"/>
        <rFont val="WenQuanYi Zen Hei"/>
        <family val="2"/>
      </rPr>
      <t xml:space="preserve">채용 진행 또는 유료 공고 이용 시 연락드리면 공고 관리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할인쿠폰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서비스제공 등 해주심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지원자들이 </t>
    </r>
    <r>
      <rPr>
        <sz val="10"/>
        <rFont val="맑은 고딕"/>
        <family val="0"/>
        <charset val="1"/>
      </rPr>
      <t xml:space="preserve">PC/</t>
    </r>
    <r>
      <rPr>
        <sz val="10"/>
        <rFont val="WenQuanYi Zen Hei"/>
        <family val="2"/>
      </rPr>
      <t xml:space="preserve">모바일 중 어느걸로 더 조회를 많이 했는지 확인 가능함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 옵션에 맞춰 홍보 상품을 구매하는게 좋을듯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</si>
  <si>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가이드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잡코리아 홍보상품 사용내역서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_24.10.25.xlsx</t>
    </r>
  </si>
  <si>
    <t xml:space="preserve">지원자 선별 리스트 업데이트</t>
  </si>
  <si>
    <r>
      <rPr>
        <sz val="10"/>
        <rFont val="WenQuanYi Zen Hei"/>
        <family val="2"/>
      </rPr>
      <t xml:space="preserve">지원자 조건에 맞춰 리스트 업데이트 진행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대표님에게 플래너로 확인 요청</t>
    </r>
  </si>
  <si>
    <r>
      <rPr>
        <sz val="10"/>
        <rFont val="WenQuanYi Zen Hei"/>
        <family val="2"/>
      </rPr>
      <t xml:space="preserve">가이드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지원자 선별 리스트 예시</t>
    </r>
  </si>
  <si>
    <t xml:space="preserve">직무에 맞는 면접 질문 양식 제작</t>
  </si>
  <si>
    <r>
      <rPr>
        <sz val="10"/>
        <rFont val="WenQuanYi Zen Hei"/>
        <family val="2"/>
      </rPr>
      <t xml:space="preserve">직무별 면접 질문 서칭 후 대표님 컨펌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각 직무별 질문 상이</t>
    </r>
  </si>
  <si>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직무</t>
    </r>
  </si>
  <si>
    <r>
      <rPr>
        <sz val="10"/>
        <rFont val="WenQuanYi Zen Hei"/>
        <family val="2"/>
      </rPr>
      <t xml:space="preserve">가이드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면접 질문양식 제작 예시</t>
    </r>
  </si>
  <si>
    <r>
      <rPr>
        <sz val="10"/>
        <rFont val="WenQuanYi Zen Hei"/>
        <family val="2"/>
      </rPr>
      <t xml:space="preserve">면접용 회사 소개 </t>
    </r>
    <r>
      <rPr>
        <sz val="10"/>
        <rFont val="맑은 고딕"/>
        <family val="0"/>
        <charset val="1"/>
      </rPr>
      <t xml:space="preserve">PPT </t>
    </r>
    <r>
      <rPr>
        <sz val="10"/>
        <rFont val="WenQuanYi Zen Hei"/>
        <family val="2"/>
      </rPr>
      <t xml:space="preserve">제작</t>
    </r>
  </si>
  <si>
    <r>
      <rPr>
        <sz val="10"/>
        <rFont val="WenQuanYi Zen Hei"/>
        <family val="2"/>
      </rPr>
      <t xml:space="preserve">면접 진행 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회사 소개 후 면접 진행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직무별 소개 </t>
    </r>
    <r>
      <rPr>
        <sz val="10"/>
        <rFont val="맑은 고딕"/>
        <family val="0"/>
        <charset val="1"/>
      </rPr>
      <t xml:space="preserve">ppt </t>
    </r>
    <r>
      <rPr>
        <sz val="10"/>
        <rFont val="WenQuanYi Zen Hei"/>
        <family val="2"/>
      </rPr>
      <t xml:space="preserve">가 다름</t>
    </r>
  </si>
  <si>
    <r>
      <rPr>
        <sz val="10"/>
        <rFont val="맑은 고딕"/>
        <family val="0"/>
        <charset val="1"/>
      </rPr>
      <t xml:space="preserve">2~4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신규 제작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기존 자료 업데이트 시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</si>
  <si>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가이드</t>
    </r>
    <r>
      <rPr>
        <sz val="10"/>
        <rFont val="맑은 고딕"/>
        <family val="0"/>
        <charset val="1"/>
      </rPr>
      <t xml:space="preserve">: 3. </t>
    </r>
    <r>
      <rPr>
        <sz val="10"/>
        <rFont val="WenQuanYi Zen Hei"/>
        <family val="2"/>
      </rPr>
      <t xml:space="preserve">신규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면접 가이드</t>
    </r>
  </si>
  <si>
    <t xml:space="preserve">면접 일정 생성 및 안내</t>
  </si>
  <si>
    <t xml:space="preserve">입사 확정 인력 가이드에 순서대로 작성되어 있음</t>
  </si>
  <si>
    <r>
      <rPr>
        <sz val="10"/>
        <rFont val="맑은 고딕"/>
        <family val="0"/>
        <charset val="1"/>
      </rPr>
      <t xml:space="preserve">20~30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</t>
    </r>
  </si>
  <si>
    <r>
      <rPr>
        <sz val="10"/>
        <rFont val="WenQuanYi Zen Hei"/>
        <family val="2"/>
      </rPr>
      <t xml:space="preserve">가이드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입사 확정 인력 가이드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_24.10.16.xlsx</t>
    </r>
  </si>
  <si>
    <t xml:space="preserve">면접 리마인드 연락</t>
  </si>
  <si>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</t>
    </r>
  </si>
  <si>
    <t xml:space="preserve">면접 진행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</si>
  <si>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</si>
  <si>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연락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합격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불합격 연락</t>
    </r>
  </si>
  <si>
    <r>
      <rPr>
        <sz val="10"/>
        <rFont val="맑은 고딕"/>
        <family val="0"/>
        <charset val="1"/>
      </rPr>
      <t xml:space="preserve">10~15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</si>
  <si>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구매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신규인력 물품 구매 및 세팅</t>
    </r>
  </si>
  <si>
    <t xml:space="preserve">내부 물품 확인 후 부족한 물품만 추가 구매</t>
  </si>
  <si>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배송기간 별도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</si>
  <si>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가이드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신규인력 물품 세팅</t>
    </r>
    <r>
      <rPr>
        <sz val="10"/>
        <rFont val="맑은 고딕"/>
        <family val="0"/>
        <charset val="1"/>
      </rPr>
      <t xml:space="preserve">.xlsx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</si>
  <si>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관리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자산관리 리스트 업데이트</t>
    </r>
  </si>
  <si>
    <r>
      <rPr>
        <sz val="10"/>
        <rFont val="WenQuanYi Zen Hei"/>
        <family val="2"/>
      </rPr>
      <t xml:space="preserve">신규 인력 물품 구매 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노트북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모니터 등 물품 관리 및 라벨 부착</t>
    </r>
  </si>
  <si>
    <r>
      <rPr>
        <sz val="10"/>
        <rFont val="WenQuanYi Zen Hei"/>
        <family val="2"/>
      </rPr>
      <t xml:space="preserve">가이드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자산관리 리스트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.xlsx</t>
    </r>
  </si>
  <si>
    <t xml:space="preserve">신규 인력 사무실 및 업무 규정 안내</t>
  </si>
  <si>
    <t xml:space="preserve">위워크 관련 내용 수정 필요</t>
  </si>
  <si>
    <r>
      <rPr>
        <sz val="10"/>
        <rFont val="WenQuanYi Zen Hei"/>
        <family val="2"/>
      </rPr>
      <t xml:space="preserve">가이드</t>
    </r>
    <r>
      <rPr>
        <sz val="10"/>
        <rFont val="맑은 고딕"/>
        <family val="0"/>
        <charset val="1"/>
      </rPr>
      <t xml:space="preserve">: 2. </t>
    </r>
    <r>
      <rPr>
        <sz val="10"/>
        <rFont val="WenQuanYi Zen Hei"/>
        <family val="2"/>
      </rPr>
      <t xml:space="preserve">근로자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장기근무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정규직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계약직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</si>
  <si>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작성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근로계약서 작성</t>
    </r>
  </si>
  <si>
    <r>
      <rPr>
        <sz val="10"/>
        <rFont val="WenQuanYi Zen Hei"/>
        <family val="2"/>
      </rPr>
      <t xml:space="preserve">신규 인력 입사 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당일에 근로계약서 작성</t>
    </r>
  </si>
  <si>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~1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</t>
    </r>
  </si>
  <si>
    <r>
      <rPr>
        <sz val="10"/>
        <rFont val="WenQuanYi Zen Hei"/>
        <family val="2"/>
      </rPr>
      <t xml:space="preserve">가이드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근로계약서 작성 체크리스트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_24.12.10.xlsx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</si>
  <si>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대보험 신고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입사 약 </t>
    </r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주 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</si>
  <si>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릭택스에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대보험 신고 진행
</t>
    </r>
    <r>
      <rPr>
        <sz val="10"/>
        <rFont val="맑은 고딕"/>
        <family val="0"/>
        <charset val="1"/>
      </rPr>
      <t xml:space="preserve">** </t>
    </r>
    <r>
      <rPr>
        <sz val="10"/>
        <rFont val="WenQuanYi Zen Hei"/>
        <family val="2"/>
      </rPr>
      <t xml:space="preserve">입사 당일날 진행하지 말것</t>
    </r>
  </si>
  <si>
    <r>
      <rPr>
        <sz val="10"/>
        <rFont val="WenQuanYi Zen Hei"/>
        <family val="2"/>
      </rPr>
      <t xml:space="preserve">입사 당일 진행 금지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입사 약 </t>
    </r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주 후 진행</t>
    </r>
  </si>
  <si>
    <r>
      <rPr>
        <b val="true"/>
        <sz val="20"/>
        <rFont val="WenQuanYi Zen Hei"/>
        <family val="2"/>
      </rPr>
      <t xml:space="preserve">이사</t>
    </r>
    <r>
      <rPr>
        <b val="true"/>
        <sz val="20"/>
        <rFont val="맑은 고딕"/>
        <family val="0"/>
        <charset val="1"/>
      </rPr>
      <t xml:space="preserve">·</t>
    </r>
    <r>
      <rPr>
        <b val="true"/>
        <sz val="20"/>
        <rFont val="WenQuanYi Zen Hei"/>
        <family val="2"/>
      </rPr>
      <t xml:space="preserve">법인등기 프로세스</t>
    </r>
  </si>
  <si>
    <r>
      <rPr>
        <sz val="10"/>
        <color rgb="FF595959"/>
        <rFont val="WenQuanYi Zen Hei"/>
        <family val="2"/>
      </rPr>
      <t xml:space="preserve">원본</t>
    </r>
    <r>
      <rPr>
        <sz val="10"/>
        <color rgb="FF595959"/>
        <rFont val="맑은 고딕"/>
        <family val="0"/>
        <charset val="1"/>
      </rPr>
      <t xml:space="preserve">: '</t>
    </r>
    <r>
      <rPr>
        <sz val="10"/>
        <color rgb="FF595959"/>
        <rFont val="WenQuanYi Zen Hei"/>
        <family val="2"/>
      </rPr>
      <t xml:space="preserve">이사</t>
    </r>
    <r>
      <rPr>
        <sz val="10"/>
        <color rgb="FF595959"/>
        <rFont val="맑은 고딕"/>
        <family val="0"/>
        <charset val="1"/>
      </rPr>
      <t xml:space="preserve">, </t>
    </r>
    <r>
      <rPr>
        <sz val="10"/>
        <color rgb="FF595959"/>
        <rFont val="WenQuanYi Zen Hei"/>
        <family val="2"/>
      </rPr>
      <t xml:space="preserve">법인 등기</t>
    </r>
    <r>
      <rPr>
        <sz val="10"/>
        <color rgb="FF595959"/>
        <rFont val="맑은 고딕"/>
        <family val="0"/>
        <charset val="1"/>
      </rPr>
      <t xml:space="preserve">' </t>
    </r>
    <r>
      <rPr>
        <sz val="10"/>
        <color rgb="FF595959"/>
        <rFont val="WenQuanYi Zen Hei"/>
        <family val="2"/>
      </rPr>
      <t xml:space="preserve">시트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사무실 이전 시 순서대로 진행하는 업무 </t>
    </r>
    <r>
      <rPr>
        <sz val="10"/>
        <color rgb="FF595959"/>
        <rFont val="맑은 고딕"/>
        <family val="0"/>
        <charset val="1"/>
      </rPr>
      <t xml:space="preserve">(17</t>
    </r>
    <r>
      <rPr>
        <sz val="10"/>
        <color rgb="FF595959"/>
        <rFont val="WenQuanYi Zen Hei"/>
        <family val="2"/>
      </rPr>
      <t xml:space="preserve">건</t>
    </r>
    <r>
      <rPr>
        <sz val="10"/>
        <color rgb="FF595959"/>
        <rFont val="맑은 고딕"/>
        <family val="0"/>
        <charset val="1"/>
      </rPr>
      <t xml:space="preserve">). </t>
    </r>
    <r>
      <rPr>
        <sz val="10"/>
        <color rgb="FF595959"/>
        <rFont val="WenQuanYi Zen Hei"/>
        <family val="2"/>
      </rPr>
      <t xml:space="preserve">예상 소요시간은 </t>
    </r>
    <r>
      <rPr>
        <sz val="10"/>
        <color rgb="FF595959"/>
        <rFont val="맑은 고딕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회 기준</t>
    </r>
    <r>
      <rPr>
        <sz val="10"/>
        <color rgb="FF595959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</si>
  <si>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비정기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이사 시</t>
    </r>
    <r>
      <rPr>
        <sz val="10"/>
        <rFont val="맑은 고딕"/>
        <family val="0"/>
        <charset val="1"/>
      </rPr>
      <t xml:space="preserve">)</t>
    </r>
  </si>
  <si>
    <t xml:space="preserve">사무실 계약기간 확인 및 연장 여부 문의</t>
  </si>
  <si>
    <r>
      <rPr>
        <sz val="10"/>
        <rFont val="WenQuanYi Zen Hei"/>
        <family val="2"/>
      </rPr>
      <t xml:space="preserve">계약 해지 한달 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대표님께 사무실 연장 여부 문의</t>
    </r>
  </si>
  <si>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분</t>
    </r>
  </si>
  <si>
    <r>
      <rPr>
        <sz val="10"/>
        <rFont val="WenQuanYi Zen Hei"/>
        <family val="2"/>
      </rPr>
      <t xml:space="preserve">계약 해지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개월 전</t>
    </r>
  </si>
  <si>
    <t xml:space="preserve">사무실 비교 리스트</t>
  </si>
  <si>
    <r>
      <rPr>
        <sz val="10"/>
        <rFont val="WenQuanYi Zen Hei"/>
        <family val="2"/>
      </rPr>
      <t xml:space="preserve">사무실 이전 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오피스 문의 및 내용 업데이트</t>
    </r>
  </si>
  <si>
    <r>
      <rPr>
        <sz val="10"/>
        <rFont val="맑은 고딕"/>
        <family val="0"/>
        <charset val="1"/>
      </rPr>
      <t xml:space="preserve">4~8</t>
    </r>
    <r>
      <rPr>
        <sz val="10"/>
        <rFont val="WenQuanYi Zen Hei"/>
        <family val="2"/>
      </rPr>
      <t xml:space="preserve">시간</t>
    </r>
  </si>
  <si>
    <r>
      <rPr>
        <sz val="10"/>
        <rFont val="WenQuanYi Zen Hei"/>
        <family val="2"/>
      </rPr>
      <t xml:space="preserve">가이드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사무실 비교 리스트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_25.11.17.xlsx</t>
    </r>
  </si>
  <si>
    <t xml:space="preserve">사무실 투어 및 계약</t>
  </si>
  <si>
    <r>
      <rPr>
        <sz val="10"/>
        <rFont val="WenQuanYi Zen Hei"/>
        <family val="2"/>
      </rPr>
      <t xml:space="preserve">대표님께서 투어 요청해주시면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담당자한테 연락해서 투어 일정 예약</t>
    </r>
  </si>
  <si>
    <r>
      <rPr>
        <sz val="10"/>
        <rFont val="맑은 고딕"/>
        <family val="0"/>
        <charset val="1"/>
      </rPr>
      <t xml:space="preserve">2~3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투어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계약 체결 </t>
    </r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시간 별도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</si>
  <si>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배치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사무실 자리 배치도</t>
    </r>
  </si>
  <si>
    <r>
      <rPr>
        <sz val="10"/>
        <rFont val="WenQuanYi Zen Hei"/>
        <family val="2"/>
      </rPr>
      <t xml:space="preserve">사무실 이전 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자리를 정해야하므로 배치도 제작</t>
    </r>
  </si>
  <si>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시간</t>
    </r>
  </si>
  <si>
    <r>
      <rPr>
        <sz val="10"/>
        <rFont val="WenQuanYi Zen Hei"/>
        <family val="2"/>
      </rPr>
      <t xml:space="preserve">가이드</t>
    </r>
    <r>
      <rPr>
        <sz val="10"/>
        <rFont val="맑은 고딕"/>
        <family val="0"/>
        <charset val="1"/>
      </rPr>
      <t xml:space="preserve">: 10</t>
    </r>
    <r>
      <rPr>
        <sz val="10"/>
        <rFont val="WenQuanYi Zen Hei"/>
        <family val="2"/>
      </rPr>
      <t xml:space="preserve">인실</t>
    </r>
    <r>
      <rPr>
        <sz val="10"/>
        <rFont val="맑은 고딕"/>
        <family val="0"/>
        <charset val="1"/>
      </rPr>
      <t xml:space="preserve">, 4</t>
    </r>
    <r>
      <rPr>
        <sz val="10"/>
        <rFont val="WenQuanYi Zen Hei"/>
        <family val="2"/>
      </rPr>
      <t xml:space="preserve">인실 평면도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_25.09.16.pptx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</si>
  <si>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정리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사무실 내부 물품 정리</t>
    </r>
  </si>
  <si>
    <r>
      <rPr>
        <sz val="10"/>
        <rFont val="WenQuanYi Zen Hei"/>
        <family val="2"/>
      </rPr>
      <t xml:space="preserve">대표님과 논의 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물품 정리표 작성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</si>
  <si>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시간</t>
    </r>
  </si>
  <si>
    <r>
      <rPr>
        <sz val="10"/>
        <rFont val="WenQuanYi Zen Hei"/>
        <family val="2"/>
      </rPr>
      <t xml:space="preserve">가이드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물품 정리표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</si>
  <si>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자산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중고품 판매 및 물품 정리</t>
    </r>
  </si>
  <si>
    <r>
      <rPr>
        <sz val="10"/>
        <rFont val="WenQuanYi Zen Hei"/>
        <family val="2"/>
      </rPr>
      <t xml:space="preserve">주로 당근마켓 활용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판매금액은 대표님과 논의</t>
    </r>
  </si>
  <si>
    <r>
      <rPr>
        <sz val="10"/>
        <rFont val="맑은 고딕"/>
        <family val="0"/>
        <charset val="1"/>
      </rPr>
      <t xml:space="preserve">2~3</t>
    </r>
    <r>
      <rPr>
        <sz val="10"/>
        <rFont val="WenQuanYi Zen Hei"/>
        <family val="2"/>
      </rPr>
      <t xml:space="preserve">시간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거래 대기기간 별도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</si>
  <si>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예약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이사업체 예약</t>
    </r>
  </si>
  <si>
    <r>
      <rPr>
        <sz val="10"/>
        <rFont val="WenQuanYi Zen Hei"/>
        <family val="2"/>
      </rPr>
      <t xml:space="preserve">이사업체 선별 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포장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반포장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박스 등의 정보 전달 </t>
    </r>
    <r>
      <rPr>
        <sz val="10"/>
        <rFont val="맑은 고딕"/>
        <family val="0"/>
        <charset val="1"/>
      </rPr>
      <t xml:space="preserve">-&gt; </t>
    </r>
    <r>
      <rPr>
        <sz val="10"/>
        <rFont val="WenQuanYi Zen Hei"/>
        <family val="2"/>
      </rPr>
      <t xml:space="preserve">견적서 대표님께 전달</t>
    </r>
  </si>
  <si>
    <r>
      <rPr>
        <sz val="10"/>
        <rFont val="WenQuanYi Zen Hei"/>
        <family val="2"/>
      </rPr>
      <t xml:space="preserve">가이드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이사업체 견적 리스트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_24.11.29.xlsx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</si>
  <si>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안내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직원분에게 사무실 관련 내용 안내</t>
    </r>
  </si>
  <si>
    <t xml:space="preserve">직원분들께 사무실 안내 및 이사일정 전달</t>
  </si>
  <si>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분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</si>
  <si>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지출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보증금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임대료 등 이용금액 납부</t>
    </r>
  </si>
  <si>
    <t xml:space="preserve">납부 일정 확인 및 입금 캡처본 전달</t>
  </si>
  <si>
    <r>
      <rPr>
        <sz val="10"/>
        <rFont val="맑은 고딕"/>
        <family val="0"/>
        <charset val="1"/>
      </rPr>
      <t xml:space="preserve">20~30</t>
    </r>
    <r>
      <rPr>
        <sz val="10"/>
        <rFont val="WenQuanYi Zen Hei"/>
        <family val="2"/>
      </rPr>
      <t xml:space="preserve">분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</si>
  <si>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반납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오피스 대여물품 반납</t>
    </r>
  </si>
  <si>
    <t xml:space="preserve">사용하던 오피스 제공 물품 반납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</si>
  <si>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시간</t>
    </r>
  </si>
  <si>
    <r>
      <rPr>
        <sz val="10"/>
        <rFont val="WenQuanYi Zen Hei"/>
        <family val="2"/>
      </rPr>
      <t xml:space="preserve">가이드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이사 전후 업무 리스트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_24.12.26.xlsx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</si>
  <si>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신청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법인 등기 변경 신청</t>
    </r>
  </si>
  <si>
    <r>
      <rPr>
        <sz val="10"/>
        <rFont val="WenQuanYi Zen Hei"/>
        <family val="2"/>
      </rPr>
      <t xml:space="preserve">본점이전 변경 등기 신청</t>
    </r>
    <r>
      <rPr>
        <sz val="10"/>
        <rFont val="맑은 고딕"/>
        <family val="0"/>
        <charset val="1"/>
      </rPr>
      <t xml:space="preserve">, : 2</t>
    </r>
    <r>
      <rPr>
        <sz val="10"/>
        <rFont val="WenQuanYi Zen Hei"/>
        <family val="2"/>
      </rPr>
      <t xml:space="preserve">주 내로 변경해야함</t>
    </r>
  </si>
  <si>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시간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법무사 처리기간 별도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</si>
  <si>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이전 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주 내 신청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</si>
  <si>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안내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건물 및 사무실 사용 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유의사항 안내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</si>
  <si>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변경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각종 서류 주소지 변경</t>
    </r>
  </si>
  <si>
    <r>
      <rPr>
        <sz val="10"/>
        <rFont val="WenQuanYi Zen Hei"/>
        <family val="2"/>
      </rPr>
      <t xml:space="preserve">사업자등록증</t>
    </r>
    <r>
      <rPr>
        <sz val="10"/>
        <rFont val="맑은 고딕"/>
        <family val="0"/>
        <charset val="1"/>
      </rPr>
      <t xml:space="preserve">, 4</t>
    </r>
    <r>
      <rPr>
        <sz val="10"/>
        <rFont val="WenQuanYi Zen Hei"/>
        <family val="2"/>
      </rPr>
      <t xml:space="preserve">대보험 사업장 주소지 등</t>
    </r>
  </si>
  <si>
    <r>
      <rPr>
        <sz val="10"/>
        <rFont val="맑은 고딕"/>
        <family val="0"/>
        <charset val="1"/>
      </rPr>
      <t xml:space="preserve">2~3</t>
    </r>
    <r>
      <rPr>
        <sz val="10"/>
        <rFont val="WenQuanYi Zen Hei"/>
        <family val="2"/>
      </rPr>
      <t xml:space="preserve">시간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</si>
  <si>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제작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법인 명판 주문제작</t>
    </r>
  </si>
  <si>
    <r>
      <rPr>
        <sz val="10"/>
        <rFont val="WenQuanYi Zen Hei"/>
        <family val="2"/>
      </rPr>
      <t xml:space="preserve">주소 변경으로 인해 명판 주문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현재 </t>
    </r>
    <r>
      <rPr>
        <sz val="10"/>
        <rFont val="맑은 고딕"/>
        <family val="0"/>
        <charset val="1"/>
      </rPr>
      <t xml:space="preserve">50x30 </t>
    </r>
    <r>
      <rPr>
        <sz val="10"/>
        <rFont val="WenQuanYi Zen Hei"/>
        <family val="2"/>
      </rPr>
      <t xml:space="preserve">사이즈 명판 구매 중</t>
    </r>
  </si>
  <si>
    <r>
      <rPr>
        <sz val="10"/>
        <rFont val="맑은 고딕"/>
        <family val="0"/>
        <charset val="1"/>
      </rPr>
      <t xml:space="preserve">20~30</t>
    </r>
    <r>
      <rPr>
        <sz val="10"/>
        <rFont val="WenQuanYi Zen Hei"/>
        <family val="2"/>
      </rPr>
      <t xml:space="preserve">분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제작기간 별도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</si>
  <si>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변경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명함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우편봉투 등 라벨지 주소 변경</t>
    </r>
  </si>
  <si>
    <r>
      <rPr>
        <sz val="10"/>
        <rFont val="WenQuanYi Zen Hei"/>
        <family val="2"/>
      </rPr>
      <t xml:space="preserve">라벨지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주소</t>
    </r>
  </si>
  <si>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~1</t>
    </r>
    <r>
      <rPr>
        <sz val="10"/>
        <rFont val="WenQuanYi Zen Hei"/>
        <family val="2"/>
      </rPr>
      <t xml:space="preserve">시간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</si>
  <si>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변경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아웃룩 전자메일 서명 변경</t>
    </r>
  </si>
  <si>
    <r>
      <rPr>
        <sz val="10"/>
        <rFont val="WenQuanYi Zen Hei"/>
        <family val="2"/>
      </rPr>
      <t xml:space="preserve">아웃룩 설정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서명 클릭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주소지 편집</t>
    </r>
  </si>
  <si>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분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</si>
  <si>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연결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프린터 연결</t>
    </r>
  </si>
  <si>
    <r>
      <rPr>
        <sz val="10"/>
        <rFont val="WenQuanYi Zen Hei"/>
        <family val="2"/>
      </rPr>
      <t xml:space="preserve">인쇄 업무가 많으므로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프린터 연결 필수</t>
    </r>
  </si>
  <si>
    <r>
      <rPr>
        <sz val="10"/>
        <rFont val="맑은 고딕"/>
        <family val="0"/>
        <charset val="1"/>
      </rPr>
      <t xml:space="preserve">15~30</t>
    </r>
    <r>
      <rPr>
        <sz val="10"/>
        <rFont val="WenQuanYi Zen Hei"/>
        <family val="2"/>
      </rPr>
      <t xml:space="preserve">분</t>
    </r>
  </si>
  <si>
    <r>
      <rPr>
        <sz val="10"/>
        <rFont val="WenQuanYi Zen Hei"/>
        <family val="2"/>
      </rPr>
      <t xml:space="preserve">가이드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노트북 초기 세팅 가이드</t>
    </r>
    <r>
      <rPr>
        <sz val="10"/>
        <rFont val="맑은 고딕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제로스트에이아이</t>
    </r>
    <r>
      <rPr>
        <sz val="10"/>
        <rFont val="맑은 고딕"/>
        <family val="0"/>
        <charset val="1"/>
      </rPr>
      <t xml:space="preserve">.xlsx</t>
    </r>
  </si>
  <si>
    <r>
      <rPr>
        <b val="true"/>
        <sz val="14"/>
        <rFont val="WenQuanYi Zen Hei"/>
        <family val="2"/>
      </rPr>
      <t xml:space="preserve">업무 분야 </t>
    </r>
    <r>
      <rPr>
        <b val="true"/>
        <sz val="14"/>
        <rFont val="맑은 고딕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빈도별 건수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업무리스트 시트 기준</t>
    </r>
    <r>
      <rPr>
        <b val="true"/>
        <sz val="14"/>
        <rFont val="맑은 고딕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수식 자동 집계</t>
    </r>
    <r>
      <rPr>
        <b val="true"/>
        <sz val="14"/>
        <rFont val="맑은 고딕"/>
        <family val="0"/>
        <charset val="1"/>
      </rPr>
      <t xml:space="preserve">)</t>
    </r>
  </si>
  <si>
    <t xml:space="preserve">합계</t>
  </si>
  <si>
    <r>
      <rPr>
        <sz val="10"/>
        <color rgb="FF595959"/>
        <rFont val="맑은 고딕"/>
        <family val="0"/>
        <charset val="1"/>
      </rPr>
      <t xml:space="preserve">※ '</t>
    </r>
    <r>
      <rPr>
        <sz val="10"/>
        <color rgb="FF595959"/>
        <rFont val="WenQuanYi Zen Hei"/>
        <family val="2"/>
      </rPr>
      <t xml:space="preserve">월간</t>
    </r>
    <r>
      <rPr>
        <sz val="10"/>
        <color rgb="FF595959"/>
        <rFont val="맑은 고딕"/>
        <family val="0"/>
        <charset val="1"/>
      </rPr>
      <t xml:space="preserve">' </t>
    </r>
    <r>
      <rPr>
        <sz val="10"/>
        <color rgb="FF595959"/>
        <rFont val="WenQuanYi Zen Hei"/>
        <family val="2"/>
      </rPr>
      <t xml:space="preserve">열은 </t>
    </r>
    <r>
      <rPr>
        <sz val="10"/>
        <color rgb="FF595959"/>
        <rFont val="맑은 고딕"/>
        <family val="0"/>
        <charset val="1"/>
      </rPr>
      <t xml:space="preserve">'</t>
    </r>
    <r>
      <rPr>
        <sz val="10"/>
        <color rgb="FF595959"/>
        <rFont val="WenQuanYi Zen Hei"/>
        <family val="2"/>
      </rPr>
      <t xml:space="preserve">월 정기</t>
    </r>
    <r>
      <rPr>
        <sz val="10"/>
        <color rgb="FF595959"/>
        <rFont val="맑은 고딕"/>
        <family val="0"/>
        <charset val="1"/>
      </rPr>
      <t xml:space="preserve">' </t>
    </r>
    <r>
      <rPr>
        <sz val="10"/>
        <color rgb="FF595959"/>
        <rFont val="WenQuanYi Zen Hei"/>
        <family val="2"/>
      </rPr>
      <t xml:space="preserve">포함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빈도 표기가 특수한 항목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비정기</t>
    </r>
    <r>
      <rPr>
        <sz val="10"/>
        <color rgb="FF595959"/>
        <rFont val="맑은 고딕"/>
        <family val="0"/>
        <charset val="1"/>
      </rPr>
      <t xml:space="preserve">/</t>
    </r>
    <r>
      <rPr>
        <sz val="10"/>
        <color rgb="FF595959"/>
        <rFont val="WenQuanYi Zen Hei"/>
        <family val="2"/>
      </rPr>
      <t xml:space="preserve">월간</t>
    </r>
    <r>
      <rPr>
        <sz val="10"/>
        <color rgb="FF595959"/>
        <rFont val="맑은 고딕"/>
        <family val="0"/>
        <charset val="1"/>
      </rPr>
      <t xml:space="preserve">, </t>
    </r>
    <r>
      <rPr>
        <sz val="10"/>
        <color rgb="FF595959"/>
        <rFont val="WenQuanYi Zen Hei"/>
        <family val="2"/>
      </rPr>
      <t xml:space="preserve">협약 기간 내</t>
    </r>
    <r>
      <rPr>
        <sz val="10"/>
        <color rgb="FF595959"/>
        <rFont val="맑은 고딕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은 개별 열에는 집계되지 않고 합계에만 포함</t>
    </r>
    <r>
      <rPr>
        <sz val="10"/>
        <color rgb="FF595959"/>
        <rFont val="맑은 고딕"/>
        <family val="0"/>
        <charset val="1"/>
      </rPr>
      <t xml:space="preserve">.</t>
    </r>
  </si>
  <si>
    <r>
      <rPr>
        <sz val="10"/>
        <color rgb="FF595959"/>
        <rFont val="WenQuanYi Zen Hei"/>
        <family val="2"/>
      </rPr>
      <t xml:space="preserve">드롭다운 목록 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업무리스트 시트의 선택 항목은 이 시트를 참조합니다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항목을 추가하면 드롭다운에도 반영됩니다</t>
    </r>
    <r>
      <rPr>
        <sz val="10"/>
        <color rgb="FF595959"/>
        <rFont val="맑은 고딕"/>
        <family val="0"/>
        <charset val="1"/>
      </rPr>
      <t xml:space="preserve">.)</t>
    </r>
  </si>
  <si>
    <t xml:space="preserve">긴급</t>
  </si>
  <si>
    <t xml:space="preserve">높음</t>
  </si>
  <si>
    <t xml:space="preserve">피드백 요청</t>
  </si>
  <si>
    <t xml:space="preserve">보통</t>
  </si>
  <si>
    <t xml:space="preserve">낮음</t>
  </si>
  <si>
    <r>
      <rPr>
        <sz val="11"/>
        <rFont val="WenQuanYi Zen Hei"/>
        <family val="2"/>
      </rPr>
      <t xml:space="preserve">비정기</t>
    </r>
    <r>
      <rPr>
        <sz val="11"/>
        <rFont val="맑은 고딕"/>
        <family val="0"/>
        <charset val="1"/>
      </rPr>
      <t xml:space="preserve">/</t>
    </r>
    <r>
      <rPr>
        <sz val="11"/>
        <rFont val="WenQuanYi Zen Hei"/>
        <family val="2"/>
      </rPr>
      <t xml:space="preserve">월간</t>
    </r>
  </si>
  <si>
    <r>
      <rPr>
        <sz val="11"/>
        <rFont val="WenQuanYi Zen Hei"/>
        <family val="2"/>
      </rPr>
      <t xml:space="preserve">비정기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채용 시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</si>
  <si>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비정기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이사 시</t>
    </r>
    <r>
      <rPr>
        <sz val="11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</si>
</sst>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WenQuanYi Zen Hei"/>
      <family val="2"/>
    </font>
    <font>
      <sz val="10"/>
      <color rgb="FF595959"/>
      <name val="WenQuanYi Zen Hei"/>
      <family val="2"/>
    </font>
    <font>
      <sz val="10"/>
      <color rgb="FF595959"/>
      <name val="맑은 고딕"/>
      <family val="0"/>
      <charset val="1"/>
    </font>
    <font>
      <b val="true"/>
      <sz val="11"/>
      <name val="WenQuanYi Zen Hei"/>
      <family val="2"/>
    </font>
    <font>
      <b val="true"/>
      <sz val="11"/>
      <name val="맑은 고딕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20"/>
      <name val="맑은 고딕"/>
      <family val="0"/>
      <charset val="1"/>
    </font>
    <font>
      <b val="true"/>
      <sz val="14"/>
      <name val="WenQuanYi Zen Hei"/>
      <family val="2"/>
    </font>
    <font>
      <b val="true"/>
      <sz val="14"/>
      <name val="맑은 고딕"/>
      <family val="0"/>
      <charset val="1"/>
    </font>
    <font>
      <sz val="11"/>
      <name val="맑은 고딕"/>
      <family val="0"/>
      <charset val="1"/>
    </font>
    <font>
      <sz val="11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D9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1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4"/>
    <col collapsed="false" customWidth="true" hidden="false" outlineLevel="0" max="4" min="4" style="0" width="36"/>
    <col collapsed="false" customWidth="true" hidden="false" outlineLevel="0" max="5" min="5" style="0" width="70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3" min="12" style="0" width="48"/>
  </cols>
  <sheetData>
    <row r="1" customFormat="false" ht="36" hidden="false" customHeight="tru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 t="s">
        <v>2</v>
      </c>
    </row>
    <row r="4" customFormat="false" ht="15" hidden="false" customHeight="false" outlineLevel="0" collapsed="false">
      <c r="B4" s="2" t="s">
        <v>3</v>
      </c>
    </row>
    <row r="5" customFormat="false" ht="15" hidden="false" customHeight="false" outlineLevel="0" collapsed="false">
      <c r="B5" s="2" t="s">
        <v>4</v>
      </c>
    </row>
    <row r="7" customFormat="false" ht="24" hidden="false" customHeight="true" outlineLevel="0" collapsed="false"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 customFormat="false" ht="33.75" hidden="false" customHeight="true" outlineLevel="0" collapsed="false">
      <c r="B8" s="4" t="s">
        <v>17</v>
      </c>
      <c r="C8" s="5" t="s">
        <v>18</v>
      </c>
      <c r="D8" s="6" t="s">
        <v>19</v>
      </c>
      <c r="E8" s="6" t="s">
        <v>20</v>
      </c>
      <c r="F8" s="7" t="s">
        <v>21</v>
      </c>
      <c r="G8" s="8"/>
      <c r="H8" s="6"/>
      <c r="I8" s="9"/>
      <c r="J8" s="9"/>
      <c r="K8" s="8"/>
      <c r="L8" s="6"/>
      <c r="M8" s="6"/>
    </row>
    <row r="9" customFormat="false" ht="90" hidden="false" customHeight="true" outlineLevel="0" collapsed="false">
      <c r="B9" s="4" t="s">
        <v>17</v>
      </c>
      <c r="C9" s="5" t="s">
        <v>18</v>
      </c>
      <c r="D9" s="6" t="s">
        <v>22</v>
      </c>
      <c r="E9" s="6" t="s">
        <v>23</v>
      </c>
      <c r="F9" s="7" t="s">
        <v>24</v>
      </c>
      <c r="G9" s="8"/>
      <c r="H9" s="6"/>
      <c r="I9" s="9"/>
      <c r="J9" s="9"/>
      <c r="K9" s="8"/>
      <c r="L9" s="6"/>
      <c r="M9" s="6" t="s">
        <v>25</v>
      </c>
    </row>
    <row r="10" customFormat="false" ht="61.5" hidden="false" customHeight="true" outlineLevel="0" collapsed="false">
      <c r="B10" s="4" t="s">
        <v>17</v>
      </c>
      <c r="C10" s="5" t="s">
        <v>18</v>
      </c>
      <c r="D10" s="6" t="s">
        <v>26</v>
      </c>
      <c r="E10" s="6" t="s">
        <v>27</v>
      </c>
      <c r="F10" s="7" t="s">
        <v>28</v>
      </c>
      <c r="G10" s="8"/>
      <c r="H10" s="6"/>
      <c r="I10" s="9"/>
      <c r="J10" s="9"/>
      <c r="K10" s="8"/>
      <c r="L10" s="6"/>
      <c r="M10" s="6" t="s">
        <v>29</v>
      </c>
    </row>
    <row r="11" customFormat="false" ht="48" hidden="false" customHeight="true" outlineLevel="0" collapsed="false">
      <c r="B11" s="4" t="s">
        <v>17</v>
      </c>
      <c r="C11" s="5" t="s">
        <v>18</v>
      </c>
      <c r="D11" s="6" t="s">
        <v>30</v>
      </c>
      <c r="E11" s="6" t="s">
        <v>31</v>
      </c>
      <c r="F11" s="7" t="s">
        <v>32</v>
      </c>
      <c r="G11" s="8"/>
      <c r="H11" s="6"/>
      <c r="I11" s="9"/>
      <c r="J11" s="9"/>
      <c r="K11" s="8"/>
      <c r="L11" s="10" t="s">
        <v>33</v>
      </c>
      <c r="M11" s="6" t="s">
        <v>34</v>
      </c>
    </row>
    <row r="12" customFormat="false" ht="33.75" hidden="false" customHeight="true" outlineLevel="0" collapsed="false">
      <c r="B12" s="4" t="s">
        <v>17</v>
      </c>
      <c r="C12" s="5" t="s">
        <v>18</v>
      </c>
      <c r="D12" s="6" t="s">
        <v>35</v>
      </c>
      <c r="E12" s="6" t="s">
        <v>36</v>
      </c>
      <c r="F12" s="7" t="s">
        <v>37</v>
      </c>
      <c r="G12" s="8"/>
      <c r="H12" s="6"/>
      <c r="I12" s="9"/>
      <c r="J12" s="9"/>
      <c r="K12" s="8"/>
      <c r="L12" s="6" t="s">
        <v>38</v>
      </c>
      <c r="M12" s="6"/>
    </row>
    <row r="13" customFormat="false" ht="33.75" hidden="false" customHeight="true" outlineLevel="0" collapsed="false">
      <c r="B13" s="4" t="s">
        <v>17</v>
      </c>
      <c r="C13" s="5" t="s">
        <v>39</v>
      </c>
      <c r="D13" s="6" t="s">
        <v>40</v>
      </c>
      <c r="E13" s="6" t="s">
        <v>41</v>
      </c>
      <c r="F13" s="7" t="s">
        <v>42</v>
      </c>
      <c r="G13" s="8"/>
      <c r="H13" s="6"/>
      <c r="I13" s="9"/>
      <c r="J13" s="9"/>
      <c r="K13" s="8"/>
      <c r="L13" s="6"/>
      <c r="M13" s="6"/>
    </row>
    <row r="14" customFormat="false" ht="145.5" hidden="false" customHeight="true" outlineLevel="0" collapsed="false">
      <c r="B14" s="4" t="s">
        <v>17</v>
      </c>
      <c r="C14" s="5" t="s">
        <v>43</v>
      </c>
      <c r="D14" s="6" t="s">
        <v>44</v>
      </c>
      <c r="E14" s="6" t="s">
        <v>45</v>
      </c>
      <c r="F14" s="7" t="s">
        <v>46</v>
      </c>
      <c r="G14" s="8"/>
      <c r="H14" s="6"/>
      <c r="I14" s="9"/>
      <c r="J14" s="9"/>
      <c r="K14" s="8"/>
      <c r="L14" s="6" t="s">
        <v>47</v>
      </c>
      <c r="M14" s="6" t="s">
        <v>48</v>
      </c>
    </row>
    <row r="15" customFormat="false" ht="159.75" hidden="false" customHeight="true" outlineLevel="0" collapsed="false">
      <c r="B15" s="4" t="s">
        <v>17</v>
      </c>
      <c r="C15" s="5" t="s">
        <v>49</v>
      </c>
      <c r="D15" s="6" t="s">
        <v>50</v>
      </c>
      <c r="E15" s="10" t="s">
        <v>51</v>
      </c>
      <c r="F15" s="7" t="s">
        <v>52</v>
      </c>
      <c r="G15" s="8"/>
      <c r="H15" s="6"/>
      <c r="I15" s="9"/>
      <c r="J15" s="9"/>
      <c r="K15" s="8"/>
      <c r="L15" s="6" t="s">
        <v>53</v>
      </c>
      <c r="M15" s="6"/>
    </row>
    <row r="16" customFormat="false" ht="33.75" hidden="false" customHeight="true" outlineLevel="0" collapsed="false">
      <c r="B16" s="4" t="s">
        <v>17</v>
      </c>
      <c r="C16" s="5" t="s">
        <v>39</v>
      </c>
      <c r="D16" s="10" t="s">
        <v>54</v>
      </c>
      <c r="E16" s="6" t="s">
        <v>55</v>
      </c>
      <c r="F16" s="7" t="s">
        <v>56</v>
      </c>
      <c r="G16" s="8"/>
      <c r="H16" s="6"/>
      <c r="I16" s="9"/>
      <c r="J16" s="9"/>
      <c r="K16" s="8"/>
      <c r="L16" s="6" t="s">
        <v>57</v>
      </c>
      <c r="M16" s="6"/>
    </row>
    <row r="17" customFormat="false" ht="103.5" hidden="false" customHeight="true" outlineLevel="0" collapsed="false">
      <c r="B17" s="4" t="s">
        <v>17</v>
      </c>
      <c r="C17" s="5" t="s">
        <v>58</v>
      </c>
      <c r="D17" s="6" t="s">
        <v>59</v>
      </c>
      <c r="E17" s="6" t="s">
        <v>60</v>
      </c>
      <c r="F17" s="7" t="s">
        <v>61</v>
      </c>
      <c r="G17" s="8"/>
      <c r="H17" s="6"/>
      <c r="I17" s="9"/>
      <c r="J17" s="9"/>
      <c r="K17" s="8"/>
      <c r="L17" s="6" t="s">
        <v>62</v>
      </c>
      <c r="M17" s="6" t="s">
        <v>63</v>
      </c>
    </row>
    <row r="18" customFormat="false" ht="48" hidden="false" customHeight="true" outlineLevel="0" collapsed="false">
      <c r="B18" s="4" t="s">
        <v>17</v>
      </c>
      <c r="C18" s="5" t="s">
        <v>58</v>
      </c>
      <c r="D18" s="10" t="s">
        <v>64</v>
      </c>
      <c r="E18" s="6" t="s">
        <v>65</v>
      </c>
      <c r="F18" s="7" t="s">
        <v>66</v>
      </c>
      <c r="G18" s="8"/>
      <c r="H18" s="6"/>
      <c r="I18" s="9"/>
      <c r="J18" s="9"/>
      <c r="K18" s="8"/>
      <c r="L18" s="6"/>
      <c r="M18" s="6" t="s">
        <v>67</v>
      </c>
    </row>
    <row r="19" customFormat="false" ht="48" hidden="false" customHeight="true" outlineLevel="0" collapsed="false">
      <c r="B19" s="4" t="s">
        <v>17</v>
      </c>
      <c r="C19" s="5" t="s">
        <v>18</v>
      </c>
      <c r="D19" s="6" t="s">
        <v>68</v>
      </c>
      <c r="E19" s="6" t="s">
        <v>69</v>
      </c>
      <c r="F19" s="7" t="s">
        <v>70</v>
      </c>
      <c r="G19" s="8"/>
      <c r="H19" s="6"/>
      <c r="I19" s="9"/>
      <c r="J19" s="9"/>
      <c r="K19" s="8"/>
      <c r="L19" s="6"/>
      <c r="M19" s="6"/>
    </row>
    <row r="20" customFormat="false" ht="33.75" hidden="false" customHeight="true" outlineLevel="0" collapsed="false">
      <c r="B20" s="4" t="s">
        <v>17</v>
      </c>
      <c r="C20" s="5" t="s">
        <v>49</v>
      </c>
      <c r="D20" s="10" t="s">
        <v>71</v>
      </c>
      <c r="E20" s="6" t="s">
        <v>72</v>
      </c>
      <c r="F20" s="7" t="s">
        <v>73</v>
      </c>
      <c r="G20" s="8"/>
      <c r="H20" s="6"/>
      <c r="I20" s="9"/>
      <c r="J20" s="9"/>
      <c r="K20" s="8"/>
      <c r="L20" s="6" t="s">
        <v>53</v>
      </c>
      <c r="M20" s="6" t="s">
        <v>74</v>
      </c>
    </row>
    <row r="21" customFormat="false" ht="48" hidden="false" customHeight="true" outlineLevel="0" collapsed="false">
      <c r="B21" s="4" t="s">
        <v>17</v>
      </c>
      <c r="C21" s="5" t="s">
        <v>18</v>
      </c>
      <c r="D21" s="6" t="s">
        <v>75</v>
      </c>
      <c r="E21" s="6" t="s">
        <v>76</v>
      </c>
      <c r="F21" s="7" t="s">
        <v>77</v>
      </c>
      <c r="G21" s="8"/>
      <c r="H21" s="6"/>
      <c r="I21" s="9"/>
      <c r="J21" s="9"/>
      <c r="K21" s="8"/>
      <c r="L21" s="6"/>
      <c r="M21" s="6"/>
    </row>
    <row r="22" customFormat="false" ht="33.75" hidden="false" customHeight="true" outlineLevel="0" collapsed="false">
      <c r="B22" s="4" t="s">
        <v>17</v>
      </c>
      <c r="C22" s="5" t="s">
        <v>18</v>
      </c>
      <c r="D22" s="6" t="s">
        <v>78</v>
      </c>
      <c r="E22" s="6" t="s">
        <v>79</v>
      </c>
      <c r="F22" s="7" t="s">
        <v>80</v>
      </c>
      <c r="G22" s="8"/>
      <c r="H22" s="6"/>
      <c r="I22" s="9"/>
      <c r="J22" s="9"/>
      <c r="K22" s="8"/>
      <c r="L22" s="6"/>
      <c r="M22" s="6"/>
    </row>
    <row r="23" customFormat="false" ht="48" hidden="false" customHeight="true" outlineLevel="0" collapsed="false">
      <c r="B23" s="4" t="s">
        <v>17</v>
      </c>
      <c r="C23" s="5" t="s">
        <v>18</v>
      </c>
      <c r="D23" s="10" t="s">
        <v>81</v>
      </c>
      <c r="E23" s="6" t="s">
        <v>82</v>
      </c>
      <c r="F23" s="7" t="s">
        <v>28</v>
      </c>
      <c r="G23" s="8"/>
      <c r="H23" s="6"/>
      <c r="I23" s="9"/>
      <c r="J23" s="9"/>
      <c r="K23" s="8"/>
      <c r="L23" s="6" t="s">
        <v>38</v>
      </c>
      <c r="M23" s="6" t="s">
        <v>83</v>
      </c>
    </row>
    <row r="24" customFormat="false" ht="19.5" hidden="false" customHeight="true" outlineLevel="0" collapsed="false">
      <c r="B24" s="4" t="s">
        <v>84</v>
      </c>
      <c r="C24" s="5" t="s">
        <v>18</v>
      </c>
      <c r="D24" s="6" t="s">
        <v>85</v>
      </c>
      <c r="E24" s="6" t="s">
        <v>86</v>
      </c>
      <c r="F24" s="7" t="s">
        <v>87</v>
      </c>
      <c r="G24" s="8"/>
      <c r="H24" s="6"/>
      <c r="I24" s="9"/>
      <c r="J24" s="9"/>
      <c r="K24" s="8"/>
      <c r="L24" s="6"/>
      <c r="M24" s="6" t="s">
        <v>88</v>
      </c>
    </row>
    <row r="25" customFormat="false" ht="33.75" hidden="false" customHeight="true" outlineLevel="0" collapsed="false">
      <c r="B25" s="4" t="s">
        <v>84</v>
      </c>
      <c r="C25" s="5" t="s">
        <v>18</v>
      </c>
      <c r="D25" s="6" t="s">
        <v>89</v>
      </c>
      <c r="E25" s="6" t="s">
        <v>90</v>
      </c>
      <c r="F25" s="7" t="s">
        <v>91</v>
      </c>
      <c r="G25" s="8"/>
      <c r="H25" s="6"/>
      <c r="I25" s="9"/>
      <c r="J25" s="9"/>
      <c r="K25" s="8"/>
      <c r="L25" s="6"/>
      <c r="M25" s="6" t="s">
        <v>92</v>
      </c>
    </row>
    <row r="26" customFormat="false" ht="33.75" hidden="false" customHeight="true" outlineLevel="0" collapsed="false">
      <c r="B26" s="4" t="s">
        <v>84</v>
      </c>
      <c r="C26" s="5" t="s">
        <v>18</v>
      </c>
      <c r="D26" s="6" t="s">
        <v>93</v>
      </c>
      <c r="E26" s="6" t="s">
        <v>94</v>
      </c>
      <c r="F26" s="7" t="s">
        <v>95</v>
      </c>
      <c r="G26" s="8"/>
      <c r="H26" s="6"/>
      <c r="I26" s="9"/>
      <c r="J26" s="9"/>
      <c r="K26" s="8"/>
      <c r="L26" s="6"/>
      <c r="M26" s="6"/>
    </row>
    <row r="27" customFormat="false" ht="33.75" hidden="false" customHeight="true" outlineLevel="0" collapsed="false">
      <c r="B27" s="4" t="s">
        <v>84</v>
      </c>
      <c r="C27" s="5" t="s">
        <v>18</v>
      </c>
      <c r="D27" s="6" t="s">
        <v>96</v>
      </c>
      <c r="E27" s="6" t="s">
        <v>97</v>
      </c>
      <c r="F27" s="7" t="s">
        <v>98</v>
      </c>
      <c r="G27" s="8"/>
      <c r="H27" s="6"/>
      <c r="I27" s="9"/>
      <c r="J27" s="9"/>
      <c r="K27" s="8"/>
      <c r="L27" s="6" t="s">
        <v>38</v>
      </c>
      <c r="M27" s="6"/>
    </row>
    <row r="28" customFormat="false" ht="19.5" hidden="false" customHeight="true" outlineLevel="0" collapsed="false">
      <c r="B28" s="4" t="s">
        <v>99</v>
      </c>
      <c r="C28" s="5" t="s">
        <v>18</v>
      </c>
      <c r="D28" s="10" t="s">
        <v>100</v>
      </c>
      <c r="E28" s="6"/>
      <c r="F28" s="7" t="s">
        <v>80</v>
      </c>
      <c r="G28" s="8"/>
      <c r="H28" s="6"/>
      <c r="I28" s="9"/>
      <c r="J28" s="9"/>
      <c r="K28" s="8"/>
      <c r="L28" s="6"/>
      <c r="M28" s="6"/>
    </row>
    <row r="29" customFormat="false" ht="48" hidden="false" customHeight="true" outlineLevel="0" collapsed="false">
      <c r="B29" s="4" t="s">
        <v>99</v>
      </c>
      <c r="C29" s="5" t="s">
        <v>18</v>
      </c>
      <c r="D29" s="10" t="s">
        <v>101</v>
      </c>
      <c r="E29" s="6"/>
      <c r="F29" s="7" t="s">
        <v>102</v>
      </c>
      <c r="G29" s="8"/>
      <c r="H29" s="6"/>
      <c r="I29" s="9"/>
      <c r="J29" s="9"/>
      <c r="K29" s="8"/>
      <c r="L29" s="10" t="s">
        <v>103</v>
      </c>
      <c r="M29" s="6"/>
    </row>
    <row r="30" customFormat="false" ht="90" hidden="false" customHeight="true" outlineLevel="0" collapsed="false">
      <c r="B30" s="4" t="s">
        <v>99</v>
      </c>
      <c r="C30" s="5" t="s">
        <v>18</v>
      </c>
      <c r="D30" s="10" t="s">
        <v>104</v>
      </c>
      <c r="E30" s="6" t="s">
        <v>105</v>
      </c>
      <c r="F30" s="7" t="s">
        <v>106</v>
      </c>
      <c r="G30" s="8"/>
      <c r="H30" s="6"/>
      <c r="I30" s="9"/>
      <c r="J30" s="9"/>
      <c r="K30" s="8"/>
      <c r="L30" s="6" t="s">
        <v>107</v>
      </c>
      <c r="M30" s="6" t="s">
        <v>108</v>
      </c>
    </row>
    <row r="31" customFormat="false" ht="19.5" hidden="false" customHeight="true" outlineLevel="0" collapsed="false">
      <c r="B31" s="4" t="s">
        <v>99</v>
      </c>
      <c r="C31" s="5" t="s">
        <v>49</v>
      </c>
      <c r="D31" s="10" t="s">
        <v>109</v>
      </c>
      <c r="E31" s="6"/>
      <c r="F31" s="7" t="s">
        <v>110</v>
      </c>
      <c r="G31" s="8"/>
      <c r="H31" s="6"/>
      <c r="I31" s="9"/>
      <c r="J31" s="9"/>
      <c r="K31" s="8"/>
      <c r="L31" s="6"/>
      <c r="M31" s="6"/>
    </row>
    <row r="32" customFormat="false" ht="19.5" hidden="false" customHeight="true" outlineLevel="0" collapsed="false">
      <c r="B32" s="4" t="s">
        <v>99</v>
      </c>
      <c r="C32" s="5" t="s">
        <v>58</v>
      </c>
      <c r="D32" s="10" t="s">
        <v>111</v>
      </c>
      <c r="E32" s="6"/>
      <c r="F32" s="7" t="s">
        <v>112</v>
      </c>
      <c r="G32" s="8"/>
      <c r="H32" s="6"/>
      <c r="I32" s="9"/>
      <c r="J32" s="9"/>
      <c r="K32" s="8"/>
      <c r="L32" s="6"/>
      <c r="M32" s="6"/>
    </row>
    <row r="33" customFormat="false" ht="33.75" hidden="false" customHeight="true" outlineLevel="0" collapsed="false">
      <c r="B33" s="4" t="s">
        <v>113</v>
      </c>
      <c r="C33" s="5" t="s">
        <v>18</v>
      </c>
      <c r="D33" s="10" t="s">
        <v>114</v>
      </c>
      <c r="E33" s="6" t="s">
        <v>115</v>
      </c>
      <c r="F33" s="7" t="s">
        <v>116</v>
      </c>
      <c r="G33" s="8"/>
      <c r="H33" s="6"/>
      <c r="I33" s="9"/>
      <c r="J33" s="9"/>
      <c r="K33" s="8"/>
      <c r="L33" s="6"/>
      <c r="M33" s="6" t="s">
        <v>117</v>
      </c>
    </row>
    <row r="34" customFormat="false" ht="48" hidden="false" customHeight="true" outlineLevel="0" collapsed="false">
      <c r="B34" s="4" t="s">
        <v>113</v>
      </c>
      <c r="C34" s="5" t="s">
        <v>18</v>
      </c>
      <c r="D34" s="6" t="s">
        <v>118</v>
      </c>
      <c r="E34" s="6" t="s">
        <v>119</v>
      </c>
      <c r="F34" s="7" t="s">
        <v>120</v>
      </c>
      <c r="G34" s="8"/>
      <c r="H34" s="6"/>
      <c r="I34" s="9"/>
      <c r="J34" s="9"/>
      <c r="K34" s="8"/>
      <c r="L34" s="6"/>
      <c r="M34" s="6" t="s">
        <v>121</v>
      </c>
    </row>
    <row r="35" customFormat="false" ht="48" hidden="false" customHeight="true" outlineLevel="0" collapsed="false">
      <c r="B35" s="4" t="s">
        <v>113</v>
      </c>
      <c r="C35" s="5" t="s">
        <v>18</v>
      </c>
      <c r="D35" s="6" t="s">
        <v>122</v>
      </c>
      <c r="E35" s="6" t="s">
        <v>123</v>
      </c>
      <c r="F35" s="7" t="s">
        <v>124</v>
      </c>
      <c r="G35" s="8"/>
      <c r="H35" s="6"/>
      <c r="I35" s="9"/>
      <c r="J35" s="9"/>
      <c r="K35" s="8"/>
      <c r="L35" s="6"/>
      <c r="M35" s="6"/>
    </row>
    <row r="36" customFormat="false" ht="75.75" hidden="false" customHeight="true" outlineLevel="0" collapsed="false">
      <c r="B36" s="4" t="s">
        <v>113</v>
      </c>
      <c r="C36" s="5" t="s">
        <v>18</v>
      </c>
      <c r="D36" s="6" t="s">
        <v>125</v>
      </c>
      <c r="E36" s="6" t="s">
        <v>126</v>
      </c>
      <c r="F36" s="7" t="s">
        <v>127</v>
      </c>
      <c r="G36" s="8"/>
      <c r="H36" s="6"/>
      <c r="I36" s="9"/>
      <c r="J36" s="9"/>
      <c r="K36" s="8"/>
      <c r="L36" s="6"/>
      <c r="M36" s="6" t="s">
        <v>128</v>
      </c>
    </row>
    <row r="37" customFormat="false" ht="33.75" hidden="false" customHeight="true" outlineLevel="0" collapsed="false">
      <c r="B37" s="4" t="s">
        <v>113</v>
      </c>
      <c r="C37" s="5" t="s">
        <v>49</v>
      </c>
      <c r="D37" s="10" t="s">
        <v>129</v>
      </c>
      <c r="E37" s="6" t="s">
        <v>130</v>
      </c>
      <c r="F37" s="7" t="s">
        <v>110</v>
      </c>
      <c r="G37" s="8"/>
      <c r="H37" s="6"/>
      <c r="I37" s="9"/>
      <c r="J37" s="9"/>
      <c r="K37" s="8"/>
      <c r="L37" s="6" t="s">
        <v>53</v>
      </c>
      <c r="M37" s="6" t="s">
        <v>131</v>
      </c>
    </row>
    <row r="38" customFormat="false" ht="258" hidden="false" customHeight="true" outlineLevel="0" collapsed="false">
      <c r="B38" s="4" t="s">
        <v>113</v>
      </c>
      <c r="C38" s="5" t="s">
        <v>49</v>
      </c>
      <c r="D38" s="6" t="s">
        <v>132</v>
      </c>
      <c r="E38" s="10" t="s">
        <v>133</v>
      </c>
      <c r="F38" s="7" t="s">
        <v>134</v>
      </c>
      <c r="G38" s="8"/>
      <c r="H38" s="6"/>
      <c r="I38" s="9"/>
      <c r="J38" s="9"/>
      <c r="K38" s="8"/>
      <c r="L38" s="6" t="s">
        <v>135</v>
      </c>
      <c r="M38" s="6"/>
    </row>
    <row r="39" customFormat="false" ht="33.75" hidden="false" customHeight="true" outlineLevel="0" collapsed="false">
      <c r="B39" s="4" t="s">
        <v>113</v>
      </c>
      <c r="C39" s="5" t="s">
        <v>58</v>
      </c>
      <c r="D39" s="10" t="s">
        <v>136</v>
      </c>
      <c r="E39" s="6" t="s">
        <v>137</v>
      </c>
      <c r="F39" s="7" t="s">
        <v>138</v>
      </c>
      <c r="G39" s="8"/>
      <c r="H39" s="6"/>
      <c r="I39" s="9"/>
      <c r="J39" s="9"/>
      <c r="K39" s="8"/>
      <c r="L39" s="6" t="s">
        <v>139</v>
      </c>
      <c r="M39" s="6" t="s">
        <v>140</v>
      </c>
    </row>
    <row r="40" customFormat="false" ht="33.75" hidden="false" customHeight="true" outlineLevel="0" collapsed="false">
      <c r="B40" s="4" t="s">
        <v>113</v>
      </c>
      <c r="C40" s="5" t="s">
        <v>18</v>
      </c>
      <c r="D40" s="6" t="s">
        <v>141</v>
      </c>
      <c r="E40" s="6" t="s">
        <v>142</v>
      </c>
      <c r="F40" s="7" t="s">
        <v>91</v>
      </c>
      <c r="G40" s="8"/>
      <c r="H40" s="6"/>
      <c r="I40" s="9"/>
      <c r="J40" s="9"/>
      <c r="K40" s="8"/>
      <c r="L40" s="6"/>
      <c r="M40" s="6"/>
    </row>
    <row r="41" customFormat="false" ht="132" hidden="false" customHeight="true" outlineLevel="0" collapsed="false">
      <c r="B41" s="4" t="s">
        <v>143</v>
      </c>
      <c r="C41" s="5" t="s">
        <v>18</v>
      </c>
      <c r="D41" s="6" t="s">
        <v>144</v>
      </c>
      <c r="E41" s="10" t="s">
        <v>145</v>
      </c>
      <c r="F41" s="7" t="s">
        <v>146</v>
      </c>
      <c r="G41" s="8"/>
      <c r="H41" s="6"/>
      <c r="I41" s="9"/>
      <c r="J41" s="9"/>
      <c r="K41" s="8"/>
      <c r="L41" s="6"/>
      <c r="M41" s="6"/>
    </row>
    <row r="42" customFormat="false" ht="33.75" hidden="false" customHeight="true" outlineLevel="0" collapsed="false">
      <c r="B42" s="4" t="s">
        <v>143</v>
      </c>
      <c r="C42" s="5" t="s">
        <v>18</v>
      </c>
      <c r="D42" s="6" t="s">
        <v>147</v>
      </c>
      <c r="E42" s="6" t="s">
        <v>148</v>
      </c>
      <c r="F42" s="7" t="s">
        <v>149</v>
      </c>
      <c r="G42" s="8"/>
      <c r="H42" s="6"/>
      <c r="I42" s="9"/>
      <c r="J42" s="9"/>
      <c r="K42" s="8"/>
      <c r="L42" s="6"/>
      <c r="M42" s="6"/>
    </row>
    <row r="43" customFormat="false" ht="61.5" hidden="false" customHeight="true" outlineLevel="0" collapsed="false">
      <c r="B43" s="4" t="s">
        <v>143</v>
      </c>
      <c r="C43" s="5" t="s">
        <v>18</v>
      </c>
      <c r="D43" s="6" t="s">
        <v>150</v>
      </c>
      <c r="E43" s="6"/>
      <c r="F43" s="7" t="s">
        <v>151</v>
      </c>
      <c r="G43" s="8"/>
      <c r="H43" s="6"/>
      <c r="I43" s="9"/>
      <c r="J43" s="9"/>
      <c r="K43" s="8"/>
      <c r="L43" s="6"/>
      <c r="M43" s="6"/>
    </row>
    <row r="44" customFormat="false" ht="19.5" hidden="false" customHeight="true" outlineLevel="0" collapsed="false">
      <c r="B44" s="4" t="s">
        <v>143</v>
      </c>
      <c r="C44" s="5" t="s">
        <v>18</v>
      </c>
      <c r="D44" s="6" t="s">
        <v>152</v>
      </c>
      <c r="E44" s="10" t="s">
        <v>153</v>
      </c>
      <c r="F44" s="7" t="s">
        <v>70</v>
      </c>
      <c r="G44" s="8"/>
      <c r="H44" s="6"/>
      <c r="I44" s="9"/>
      <c r="J44" s="9"/>
      <c r="K44" s="8"/>
      <c r="L44" s="6"/>
      <c r="M44" s="6"/>
    </row>
    <row r="45" customFormat="false" ht="19.5" hidden="false" customHeight="true" outlineLevel="0" collapsed="false">
      <c r="B45" s="4" t="s">
        <v>143</v>
      </c>
      <c r="C45" s="5" t="s">
        <v>18</v>
      </c>
      <c r="D45" s="6" t="s">
        <v>154</v>
      </c>
      <c r="E45" s="6" t="s">
        <v>155</v>
      </c>
      <c r="F45" s="7" t="s">
        <v>37</v>
      </c>
      <c r="G45" s="8"/>
      <c r="H45" s="6"/>
      <c r="I45" s="9"/>
      <c r="J45" s="9"/>
      <c r="K45" s="8"/>
      <c r="L45" s="6"/>
      <c r="M45" s="6" t="s">
        <v>156</v>
      </c>
    </row>
    <row r="46" customFormat="false" ht="19.5" hidden="false" customHeight="true" outlineLevel="0" collapsed="false">
      <c r="B46" s="4" t="s">
        <v>143</v>
      </c>
      <c r="C46" s="5" t="s">
        <v>18</v>
      </c>
      <c r="D46" s="6" t="s">
        <v>157</v>
      </c>
      <c r="E46" s="6" t="s">
        <v>158</v>
      </c>
      <c r="F46" s="7" t="s">
        <v>46</v>
      </c>
      <c r="G46" s="8"/>
      <c r="H46" s="6"/>
      <c r="I46" s="9"/>
      <c r="J46" s="9"/>
      <c r="K46" s="8"/>
      <c r="L46" s="6"/>
      <c r="M46" s="6" t="s">
        <v>159</v>
      </c>
    </row>
    <row r="47" customFormat="false" ht="19.5" hidden="false" customHeight="true" outlineLevel="0" collapsed="false">
      <c r="B47" s="4" t="s">
        <v>143</v>
      </c>
      <c r="C47" s="5" t="s">
        <v>18</v>
      </c>
      <c r="D47" s="6" t="s">
        <v>160</v>
      </c>
      <c r="E47" s="6" t="s">
        <v>161</v>
      </c>
      <c r="F47" s="7" t="s">
        <v>127</v>
      </c>
      <c r="G47" s="8"/>
      <c r="H47" s="6"/>
      <c r="I47" s="9"/>
      <c r="J47" s="9"/>
      <c r="K47" s="8"/>
      <c r="L47" s="6"/>
      <c r="M47" s="6" t="s">
        <v>162</v>
      </c>
    </row>
    <row r="48" customFormat="false" ht="33.75" hidden="false" customHeight="true" outlineLevel="0" collapsed="false">
      <c r="B48" s="4" t="s">
        <v>143</v>
      </c>
      <c r="C48" s="5" t="s">
        <v>18</v>
      </c>
      <c r="D48" s="6" t="s">
        <v>163</v>
      </c>
      <c r="E48" s="6" t="s">
        <v>164</v>
      </c>
      <c r="F48" s="7" t="s">
        <v>165</v>
      </c>
      <c r="G48" s="8"/>
      <c r="H48" s="6"/>
      <c r="I48" s="9"/>
      <c r="J48" s="9"/>
      <c r="K48" s="8"/>
      <c r="L48" s="6" t="s">
        <v>166</v>
      </c>
      <c r="M48" s="6" t="s">
        <v>167</v>
      </c>
    </row>
    <row r="49" customFormat="false" ht="19.5" hidden="false" customHeight="true" outlineLevel="0" collapsed="false">
      <c r="B49" s="4" t="s">
        <v>143</v>
      </c>
      <c r="C49" s="5" t="s">
        <v>18</v>
      </c>
      <c r="D49" s="6" t="s">
        <v>168</v>
      </c>
      <c r="E49" s="6" t="s">
        <v>169</v>
      </c>
      <c r="F49" s="7" t="s">
        <v>77</v>
      </c>
      <c r="G49" s="8"/>
      <c r="H49" s="6"/>
      <c r="I49" s="9"/>
      <c r="J49" s="9"/>
      <c r="K49" s="8"/>
      <c r="L49" s="6"/>
      <c r="M49" s="6" t="s">
        <v>170</v>
      </c>
    </row>
    <row r="50" customFormat="false" ht="33.75" hidden="false" customHeight="true" outlineLevel="0" collapsed="false">
      <c r="B50" s="4" t="s">
        <v>143</v>
      </c>
      <c r="C50" s="5" t="s">
        <v>49</v>
      </c>
      <c r="D50" s="6" t="s">
        <v>171</v>
      </c>
      <c r="E50" s="6"/>
      <c r="F50" s="7" t="s">
        <v>172</v>
      </c>
      <c r="G50" s="8"/>
      <c r="H50" s="6"/>
      <c r="I50" s="9"/>
      <c r="J50" s="9"/>
      <c r="K50" s="8"/>
      <c r="L50" s="6" t="s">
        <v>173</v>
      </c>
      <c r="M50" s="6"/>
    </row>
    <row r="51" customFormat="false" ht="61.5" hidden="false" customHeight="true" outlineLevel="0" collapsed="false">
      <c r="B51" s="4" t="s">
        <v>143</v>
      </c>
      <c r="C51" s="5" t="s">
        <v>49</v>
      </c>
      <c r="D51" s="6" t="s">
        <v>174</v>
      </c>
      <c r="E51" s="6" t="s">
        <v>175</v>
      </c>
      <c r="F51" s="7" t="s">
        <v>176</v>
      </c>
      <c r="G51" s="8"/>
      <c r="H51" s="6"/>
      <c r="I51" s="9"/>
      <c r="J51" s="9"/>
      <c r="K51" s="8"/>
      <c r="L51" s="6" t="s">
        <v>177</v>
      </c>
      <c r="M51" s="6"/>
    </row>
    <row r="52" customFormat="false" ht="48" hidden="false" customHeight="true" outlineLevel="0" collapsed="false">
      <c r="B52" s="4" t="s">
        <v>143</v>
      </c>
      <c r="C52" s="5" t="s">
        <v>39</v>
      </c>
      <c r="D52" s="6" t="s">
        <v>178</v>
      </c>
      <c r="E52" s="6" t="s">
        <v>179</v>
      </c>
      <c r="F52" s="7" t="s">
        <v>42</v>
      </c>
      <c r="G52" s="8"/>
      <c r="H52" s="6"/>
      <c r="I52" s="9"/>
      <c r="J52" s="9"/>
      <c r="K52" s="8"/>
      <c r="L52" s="6" t="s">
        <v>57</v>
      </c>
      <c r="M52" s="6" t="s">
        <v>180</v>
      </c>
    </row>
    <row r="53" customFormat="false" ht="19.5" hidden="false" customHeight="true" outlineLevel="0" collapsed="false">
      <c r="B53" s="4" t="s">
        <v>143</v>
      </c>
      <c r="C53" s="5" t="s">
        <v>181</v>
      </c>
      <c r="D53" s="6" t="s">
        <v>182</v>
      </c>
      <c r="E53" s="6" t="s">
        <v>183</v>
      </c>
      <c r="F53" s="7" t="s">
        <v>24</v>
      </c>
      <c r="G53" s="8"/>
      <c r="H53" s="6"/>
      <c r="I53" s="9"/>
      <c r="J53" s="9"/>
      <c r="K53" s="8"/>
      <c r="L53" s="6"/>
      <c r="M53" s="6"/>
    </row>
    <row r="54" customFormat="false" ht="33.75" hidden="false" customHeight="true" outlineLevel="0" collapsed="false">
      <c r="B54" s="4" t="s">
        <v>143</v>
      </c>
      <c r="C54" s="5" t="s">
        <v>18</v>
      </c>
      <c r="D54" s="10" t="s">
        <v>184</v>
      </c>
      <c r="E54" s="10" t="s">
        <v>185</v>
      </c>
      <c r="F54" s="7" t="s">
        <v>80</v>
      </c>
      <c r="G54" s="8"/>
      <c r="H54" s="6"/>
      <c r="I54" s="9"/>
      <c r="J54" s="9"/>
      <c r="K54" s="8"/>
      <c r="L54" s="6"/>
      <c r="M54" s="6"/>
    </row>
    <row r="55" customFormat="false" ht="48" hidden="false" customHeight="true" outlineLevel="0" collapsed="false">
      <c r="B55" s="4" t="s">
        <v>143</v>
      </c>
      <c r="C55" s="5" t="s">
        <v>18</v>
      </c>
      <c r="D55" s="6" t="s">
        <v>186</v>
      </c>
      <c r="E55" s="6" t="s">
        <v>187</v>
      </c>
      <c r="F55" s="7" t="s">
        <v>188</v>
      </c>
      <c r="G55" s="8"/>
      <c r="H55" s="6"/>
      <c r="I55" s="9"/>
      <c r="J55" s="9"/>
      <c r="K55" s="8"/>
      <c r="L55" s="6"/>
      <c r="M55" s="6"/>
    </row>
    <row r="56" customFormat="false" ht="48" hidden="false" customHeight="true" outlineLevel="0" collapsed="false">
      <c r="B56" s="4" t="s">
        <v>143</v>
      </c>
      <c r="C56" s="5" t="s">
        <v>39</v>
      </c>
      <c r="D56" s="6" t="s">
        <v>189</v>
      </c>
      <c r="E56" s="6" t="s">
        <v>190</v>
      </c>
      <c r="F56" s="7" t="s">
        <v>191</v>
      </c>
      <c r="G56" s="8"/>
      <c r="H56" s="6"/>
      <c r="I56" s="9"/>
      <c r="J56" s="9"/>
      <c r="K56" s="8"/>
      <c r="L56" s="6"/>
      <c r="M56" s="6"/>
    </row>
    <row r="57" customFormat="false" ht="48" hidden="false" customHeight="true" outlineLevel="0" collapsed="false">
      <c r="B57" s="4" t="s">
        <v>143</v>
      </c>
      <c r="C57" s="5" t="s">
        <v>39</v>
      </c>
      <c r="D57" s="6" t="s">
        <v>192</v>
      </c>
      <c r="E57" s="6" t="s">
        <v>193</v>
      </c>
      <c r="F57" s="7" t="s">
        <v>56</v>
      </c>
      <c r="G57" s="8"/>
      <c r="H57" s="6"/>
      <c r="I57" s="9"/>
      <c r="J57" s="9"/>
      <c r="K57" s="8"/>
      <c r="L57" s="6"/>
      <c r="M57" s="6" t="s">
        <v>194</v>
      </c>
    </row>
    <row r="58" customFormat="false" ht="33.75" hidden="false" customHeight="true" outlineLevel="0" collapsed="false">
      <c r="B58" s="4" t="s">
        <v>195</v>
      </c>
      <c r="C58" s="5" t="s">
        <v>18</v>
      </c>
      <c r="D58" s="6" t="s">
        <v>196</v>
      </c>
      <c r="E58" s="6" t="s">
        <v>197</v>
      </c>
      <c r="F58" s="7" t="s">
        <v>198</v>
      </c>
      <c r="G58" s="8"/>
      <c r="H58" s="6"/>
      <c r="I58" s="9"/>
      <c r="J58" s="9"/>
      <c r="K58" s="8"/>
      <c r="L58" s="6"/>
      <c r="M58" s="6" t="s">
        <v>199</v>
      </c>
    </row>
    <row r="59" customFormat="false" ht="33.75" hidden="false" customHeight="true" outlineLevel="0" collapsed="false">
      <c r="B59" s="4" t="s">
        <v>195</v>
      </c>
      <c r="C59" s="5" t="s">
        <v>18</v>
      </c>
      <c r="D59" s="6" t="s">
        <v>200</v>
      </c>
      <c r="E59" s="6" t="s">
        <v>201</v>
      </c>
      <c r="F59" s="7" t="s">
        <v>202</v>
      </c>
      <c r="G59" s="8"/>
      <c r="H59" s="6"/>
      <c r="I59" s="9"/>
      <c r="J59" s="9"/>
      <c r="K59" s="8"/>
      <c r="L59" s="6" t="s">
        <v>203</v>
      </c>
      <c r="M59" s="6" t="s">
        <v>204</v>
      </c>
    </row>
    <row r="60" customFormat="false" ht="19.5" hidden="false" customHeight="true" outlineLevel="0" collapsed="false">
      <c r="B60" s="4" t="s">
        <v>195</v>
      </c>
      <c r="C60" s="5" t="s">
        <v>39</v>
      </c>
      <c r="D60" s="6" t="s">
        <v>205</v>
      </c>
      <c r="E60" s="6"/>
      <c r="F60" s="7" t="s">
        <v>191</v>
      </c>
      <c r="G60" s="8"/>
      <c r="H60" s="6"/>
      <c r="I60" s="9"/>
      <c r="J60" s="9"/>
      <c r="K60" s="8"/>
      <c r="L60" s="6"/>
      <c r="M60" s="6"/>
    </row>
    <row r="61" customFormat="false" ht="33.75" hidden="false" customHeight="true" outlineLevel="0" collapsed="false">
      <c r="B61" s="4" t="s">
        <v>206</v>
      </c>
      <c r="C61" s="5" t="s">
        <v>49</v>
      </c>
      <c r="D61" s="10" t="s">
        <v>207</v>
      </c>
      <c r="E61" s="6" t="s">
        <v>208</v>
      </c>
      <c r="F61" s="7" t="s">
        <v>172</v>
      </c>
      <c r="G61" s="8"/>
      <c r="H61" s="6"/>
      <c r="I61" s="9"/>
      <c r="J61" s="9"/>
      <c r="K61" s="8"/>
      <c r="L61" s="6" t="s">
        <v>53</v>
      </c>
      <c r="M61" s="6" t="s">
        <v>209</v>
      </c>
    </row>
    <row r="62" customFormat="false" ht="61.5" hidden="false" customHeight="true" outlineLevel="0" collapsed="false">
      <c r="B62" s="4" t="s">
        <v>206</v>
      </c>
      <c r="C62" s="5" t="s">
        <v>181</v>
      </c>
      <c r="D62" s="6" t="s">
        <v>210</v>
      </c>
      <c r="E62" s="10" t="s">
        <v>211</v>
      </c>
      <c r="F62" s="7" t="s">
        <v>212</v>
      </c>
      <c r="G62" s="8"/>
      <c r="H62" s="6"/>
      <c r="I62" s="9"/>
      <c r="J62" s="9"/>
      <c r="K62" s="8"/>
      <c r="L62" s="6"/>
      <c r="M62" s="6"/>
    </row>
    <row r="63" customFormat="false" ht="61.5" hidden="false" customHeight="true" outlineLevel="0" collapsed="false">
      <c r="B63" s="4" t="s">
        <v>206</v>
      </c>
      <c r="C63" s="5" t="s">
        <v>213</v>
      </c>
      <c r="D63" s="6" t="s">
        <v>214</v>
      </c>
      <c r="E63" s="6" t="s">
        <v>215</v>
      </c>
      <c r="F63" s="7" t="s">
        <v>77</v>
      </c>
      <c r="G63" s="8"/>
      <c r="H63" s="6"/>
      <c r="I63" s="9"/>
      <c r="J63" s="9"/>
      <c r="K63" s="8"/>
      <c r="L63" s="6"/>
      <c r="M63" s="6"/>
    </row>
    <row r="64" customFormat="false" ht="33.75" hidden="false" customHeight="true" outlineLevel="0" collapsed="false">
      <c r="B64" s="4" t="s">
        <v>216</v>
      </c>
      <c r="C64" s="5" t="s">
        <v>18</v>
      </c>
      <c r="D64" s="6" t="s">
        <v>217</v>
      </c>
      <c r="E64" s="6" t="s">
        <v>218</v>
      </c>
      <c r="F64" s="7" t="s">
        <v>149</v>
      </c>
      <c r="G64" s="8"/>
      <c r="H64" s="6"/>
      <c r="I64" s="9"/>
      <c r="J64" s="9"/>
      <c r="K64" s="8"/>
      <c r="L64" s="6" t="s">
        <v>219</v>
      </c>
      <c r="M64" s="6" t="s">
        <v>220</v>
      </c>
    </row>
    <row r="65" customFormat="false" ht="48" hidden="false" customHeight="true" outlineLevel="0" collapsed="false">
      <c r="B65" s="4" t="s">
        <v>216</v>
      </c>
      <c r="C65" s="5" t="s">
        <v>18</v>
      </c>
      <c r="D65" s="6" t="s">
        <v>221</v>
      </c>
      <c r="E65" s="10" t="s">
        <v>222</v>
      </c>
      <c r="F65" s="7" t="s">
        <v>46</v>
      </c>
      <c r="G65" s="8"/>
      <c r="H65" s="6"/>
      <c r="I65" s="9"/>
      <c r="J65" s="9"/>
      <c r="K65" s="8"/>
      <c r="L65" s="6"/>
      <c r="M65" s="6" t="s">
        <v>223</v>
      </c>
    </row>
    <row r="66" customFormat="false" ht="48" hidden="false" customHeight="true" outlineLevel="0" collapsed="false">
      <c r="B66" s="4" t="s">
        <v>216</v>
      </c>
      <c r="C66" s="5" t="s">
        <v>18</v>
      </c>
      <c r="D66" s="10" t="s">
        <v>224</v>
      </c>
      <c r="E66" s="6" t="s">
        <v>225</v>
      </c>
      <c r="F66" s="7" t="s">
        <v>226</v>
      </c>
      <c r="G66" s="8"/>
      <c r="H66" s="6"/>
      <c r="I66" s="9"/>
      <c r="J66" s="9"/>
      <c r="K66" s="8"/>
      <c r="L66" s="6"/>
      <c r="M66" s="6"/>
    </row>
    <row r="67" customFormat="false" ht="33.75" hidden="false" customHeight="true" outlineLevel="0" collapsed="false">
      <c r="B67" s="4" t="s">
        <v>216</v>
      </c>
      <c r="C67" s="5" t="s">
        <v>18</v>
      </c>
      <c r="D67" s="10" t="s">
        <v>227</v>
      </c>
      <c r="E67" s="10" t="s">
        <v>228</v>
      </c>
      <c r="F67" s="7" t="s">
        <v>116</v>
      </c>
      <c r="G67" s="8"/>
      <c r="H67" s="6"/>
      <c r="I67" s="9"/>
      <c r="J67" s="9"/>
      <c r="K67" s="8"/>
      <c r="L67" s="6"/>
      <c r="M67" s="6"/>
    </row>
    <row r="68" customFormat="false" ht="33.75" hidden="false" customHeight="true" outlineLevel="0" collapsed="false">
      <c r="B68" s="4" t="s">
        <v>216</v>
      </c>
      <c r="C68" s="5" t="s">
        <v>18</v>
      </c>
      <c r="D68" s="10" t="s">
        <v>229</v>
      </c>
      <c r="E68" s="6" t="s">
        <v>230</v>
      </c>
      <c r="F68" s="7" t="s">
        <v>80</v>
      </c>
      <c r="G68" s="8"/>
      <c r="H68" s="6"/>
      <c r="I68" s="9"/>
      <c r="J68" s="9"/>
      <c r="K68" s="8"/>
      <c r="L68" s="6" t="s">
        <v>231</v>
      </c>
      <c r="M68" s="6"/>
    </row>
    <row r="69" customFormat="false" ht="19.5" hidden="false" customHeight="true" outlineLevel="0" collapsed="false">
      <c r="B69" s="4" t="s">
        <v>216</v>
      </c>
      <c r="C69" s="5" t="s">
        <v>18</v>
      </c>
      <c r="D69" s="6" t="s">
        <v>232</v>
      </c>
      <c r="E69" s="6" t="s">
        <v>233</v>
      </c>
      <c r="F69" s="7" t="s">
        <v>234</v>
      </c>
      <c r="G69" s="8"/>
      <c r="H69" s="6"/>
      <c r="I69" s="9"/>
      <c r="J69" s="9"/>
      <c r="K69" s="8"/>
      <c r="L69" s="6"/>
      <c r="M69" s="6"/>
    </row>
    <row r="70" customFormat="false" ht="33.75" hidden="false" customHeight="true" outlineLevel="0" collapsed="false">
      <c r="B70" s="4" t="s">
        <v>216</v>
      </c>
      <c r="C70" s="5" t="s">
        <v>18</v>
      </c>
      <c r="D70" s="10" t="s">
        <v>235</v>
      </c>
      <c r="E70" s="6" t="s">
        <v>236</v>
      </c>
      <c r="F70" s="7" t="s">
        <v>102</v>
      </c>
      <c r="G70" s="8"/>
      <c r="H70" s="6"/>
      <c r="I70" s="9"/>
      <c r="J70" s="9"/>
      <c r="K70" s="8"/>
      <c r="L70" s="6"/>
      <c r="M70" s="6"/>
    </row>
    <row r="71" customFormat="false" ht="19.5" hidden="false" customHeight="true" outlineLevel="0" collapsed="false">
      <c r="B71" s="4" t="s">
        <v>216</v>
      </c>
      <c r="C71" s="5" t="s">
        <v>18</v>
      </c>
      <c r="D71" s="6" t="s">
        <v>237</v>
      </c>
      <c r="E71" s="6" t="s">
        <v>238</v>
      </c>
      <c r="F71" s="7" t="s">
        <v>80</v>
      </c>
      <c r="G71" s="8"/>
      <c r="H71" s="6"/>
      <c r="I71" s="9"/>
      <c r="J71" s="9"/>
      <c r="K71" s="8"/>
      <c r="L71" s="6"/>
      <c r="M71" s="6" t="s">
        <v>239</v>
      </c>
    </row>
    <row r="72" customFormat="false" ht="19.5" hidden="false" customHeight="true" outlineLevel="0" collapsed="false">
      <c r="B72" s="4" t="s">
        <v>216</v>
      </c>
      <c r="C72" s="5" t="s">
        <v>18</v>
      </c>
      <c r="D72" s="6" t="s">
        <v>240</v>
      </c>
      <c r="E72" s="6"/>
      <c r="F72" s="7" t="s">
        <v>241</v>
      </c>
      <c r="G72" s="8"/>
      <c r="H72" s="6"/>
      <c r="I72" s="9"/>
      <c r="J72" s="9"/>
      <c r="K72" s="8"/>
      <c r="L72" s="6"/>
      <c r="M72" s="6"/>
    </row>
    <row r="73" customFormat="false" ht="33.75" hidden="false" customHeight="true" outlineLevel="0" collapsed="false">
      <c r="B73" s="4" t="s">
        <v>216</v>
      </c>
      <c r="C73" s="5" t="s">
        <v>242</v>
      </c>
      <c r="D73" s="6" t="s">
        <v>243</v>
      </c>
      <c r="E73" s="6"/>
      <c r="F73" s="7" t="s">
        <v>244</v>
      </c>
      <c r="G73" s="8"/>
      <c r="H73" s="6"/>
      <c r="I73" s="9"/>
      <c r="J73" s="9"/>
      <c r="K73" s="8"/>
      <c r="L73" s="6"/>
      <c r="M73" s="6"/>
    </row>
    <row r="74" customFormat="false" ht="19.5" hidden="false" customHeight="true" outlineLevel="0" collapsed="false">
      <c r="B74" s="4" t="s">
        <v>216</v>
      </c>
      <c r="C74" s="5" t="s">
        <v>18</v>
      </c>
      <c r="D74" s="6" t="s">
        <v>245</v>
      </c>
      <c r="E74" s="6"/>
      <c r="F74" s="7" t="s">
        <v>91</v>
      </c>
      <c r="G74" s="8"/>
      <c r="H74" s="6"/>
      <c r="I74" s="9"/>
      <c r="J74" s="9"/>
      <c r="K74" s="8"/>
      <c r="L74" s="6"/>
      <c r="M74" s="6"/>
    </row>
    <row r="75" customFormat="false" ht="19.5" hidden="false" customHeight="true" outlineLevel="0" collapsed="false">
      <c r="B75" s="4" t="s">
        <v>216</v>
      </c>
      <c r="C75" s="5" t="s">
        <v>18</v>
      </c>
      <c r="D75" s="6" t="s">
        <v>246</v>
      </c>
      <c r="E75" s="6"/>
      <c r="F75" s="7" t="s">
        <v>116</v>
      </c>
      <c r="G75" s="8"/>
      <c r="H75" s="6"/>
      <c r="I75" s="9"/>
      <c r="J75" s="9"/>
      <c r="K75" s="8"/>
      <c r="L75" s="6"/>
      <c r="M75" s="6"/>
    </row>
    <row r="76" customFormat="false" ht="33.75" hidden="false" customHeight="true" outlineLevel="0" collapsed="false">
      <c r="B76" s="4" t="s">
        <v>216</v>
      </c>
      <c r="C76" s="5" t="s">
        <v>49</v>
      </c>
      <c r="D76" s="10" t="s">
        <v>247</v>
      </c>
      <c r="E76" s="6" t="s">
        <v>248</v>
      </c>
      <c r="F76" s="7" t="s">
        <v>176</v>
      </c>
      <c r="G76" s="8"/>
      <c r="H76" s="6"/>
      <c r="I76" s="9"/>
      <c r="J76" s="9"/>
      <c r="K76" s="8"/>
      <c r="L76" s="6" t="s">
        <v>53</v>
      </c>
      <c r="M76" s="6" t="s">
        <v>249</v>
      </c>
    </row>
    <row r="77" customFormat="false" ht="33.75" hidden="false" customHeight="true" outlineLevel="0" collapsed="false">
      <c r="B77" s="4" t="s">
        <v>216</v>
      </c>
      <c r="C77" s="5" t="s">
        <v>49</v>
      </c>
      <c r="D77" s="10" t="s">
        <v>250</v>
      </c>
      <c r="E77" s="6" t="s">
        <v>251</v>
      </c>
      <c r="F77" s="7" t="s">
        <v>134</v>
      </c>
      <c r="G77" s="8"/>
      <c r="H77" s="6"/>
      <c r="I77" s="9"/>
      <c r="J77" s="9"/>
      <c r="K77" s="8"/>
      <c r="L77" s="6" t="s">
        <v>53</v>
      </c>
      <c r="M77" s="6" t="s">
        <v>252</v>
      </c>
    </row>
    <row r="78" customFormat="false" ht="33.75" hidden="false" customHeight="true" outlineLevel="0" collapsed="false">
      <c r="B78" s="4" t="s">
        <v>216</v>
      </c>
      <c r="C78" s="5" t="s">
        <v>49</v>
      </c>
      <c r="D78" s="10" t="s">
        <v>253</v>
      </c>
      <c r="E78" s="6" t="s">
        <v>254</v>
      </c>
      <c r="F78" s="7" t="s">
        <v>134</v>
      </c>
      <c r="G78" s="8"/>
      <c r="H78" s="6"/>
      <c r="I78" s="9"/>
      <c r="J78" s="9"/>
      <c r="K78" s="8"/>
      <c r="L78" s="6" t="s">
        <v>53</v>
      </c>
      <c r="M78" s="6" t="s">
        <v>255</v>
      </c>
    </row>
    <row r="79" customFormat="false" ht="48" hidden="false" customHeight="true" outlineLevel="0" collapsed="false">
      <c r="B79" s="4" t="s">
        <v>216</v>
      </c>
      <c r="C79" s="5" t="s">
        <v>49</v>
      </c>
      <c r="D79" s="6" t="s">
        <v>256</v>
      </c>
      <c r="E79" s="6" t="s">
        <v>257</v>
      </c>
      <c r="F79" s="7" t="s">
        <v>258</v>
      </c>
      <c r="G79" s="8"/>
      <c r="H79" s="6"/>
      <c r="I79" s="9"/>
      <c r="J79" s="9"/>
      <c r="K79" s="8"/>
      <c r="L79" s="6" t="s">
        <v>259</v>
      </c>
      <c r="M79" s="6" t="s">
        <v>260</v>
      </c>
    </row>
    <row r="80" customFormat="false" ht="33.75" hidden="false" customHeight="true" outlineLevel="0" collapsed="false">
      <c r="B80" s="4" t="s">
        <v>216</v>
      </c>
      <c r="C80" s="5" t="s">
        <v>58</v>
      </c>
      <c r="D80" s="10" t="s">
        <v>261</v>
      </c>
      <c r="E80" s="6" t="s">
        <v>262</v>
      </c>
      <c r="F80" s="7" t="s">
        <v>138</v>
      </c>
      <c r="G80" s="8"/>
      <c r="H80" s="6"/>
      <c r="I80" s="9"/>
      <c r="J80" s="9"/>
      <c r="K80" s="8"/>
      <c r="L80" s="6" t="s">
        <v>263</v>
      </c>
      <c r="M80" s="6" t="s">
        <v>264</v>
      </c>
    </row>
    <row r="81" customFormat="false" ht="19.5" hidden="false" customHeight="true" outlineLevel="0" collapsed="false">
      <c r="B81" s="4" t="s">
        <v>216</v>
      </c>
      <c r="C81" s="5" t="s">
        <v>58</v>
      </c>
      <c r="D81" s="6" t="s">
        <v>265</v>
      </c>
      <c r="E81" s="6" t="s">
        <v>266</v>
      </c>
      <c r="F81" s="7" t="s">
        <v>267</v>
      </c>
      <c r="G81" s="8"/>
      <c r="H81" s="6"/>
      <c r="I81" s="9"/>
      <c r="J81" s="9"/>
      <c r="K81" s="8"/>
      <c r="L81" s="6" t="s">
        <v>268</v>
      </c>
      <c r="M81" s="6"/>
    </row>
    <row r="82" customFormat="false" ht="48" hidden="false" customHeight="true" outlineLevel="0" collapsed="false">
      <c r="B82" s="4" t="s">
        <v>216</v>
      </c>
      <c r="C82" s="5" t="s">
        <v>18</v>
      </c>
      <c r="D82" s="6" t="s">
        <v>269</v>
      </c>
      <c r="E82" s="6" t="s">
        <v>270</v>
      </c>
      <c r="F82" s="7" t="s">
        <v>271</v>
      </c>
      <c r="G82" s="8"/>
      <c r="H82" s="6"/>
      <c r="I82" s="9"/>
      <c r="J82" s="9"/>
      <c r="K82" s="8"/>
      <c r="L82" s="6" t="s">
        <v>38</v>
      </c>
      <c r="M82" s="6"/>
    </row>
    <row r="83" customFormat="false" ht="48" hidden="false" customHeight="true" outlineLevel="0" collapsed="false">
      <c r="B83" s="4" t="s">
        <v>272</v>
      </c>
      <c r="C83" s="5" t="s">
        <v>58</v>
      </c>
      <c r="D83" s="6" t="s">
        <v>273</v>
      </c>
      <c r="E83" s="6" t="s">
        <v>274</v>
      </c>
      <c r="F83" s="7" t="s">
        <v>275</v>
      </c>
      <c r="G83" s="8"/>
      <c r="H83" s="6"/>
      <c r="I83" s="9"/>
      <c r="J83" s="9"/>
      <c r="K83" s="8"/>
      <c r="L83" s="6" t="s">
        <v>276</v>
      </c>
      <c r="M83" s="6"/>
    </row>
    <row r="84" customFormat="false" ht="33.75" hidden="false" customHeight="true" outlineLevel="0" collapsed="false">
      <c r="B84" s="4" t="s">
        <v>272</v>
      </c>
      <c r="C84" s="5" t="s">
        <v>277</v>
      </c>
      <c r="D84" s="6" t="s">
        <v>278</v>
      </c>
      <c r="E84" s="6" t="s">
        <v>279</v>
      </c>
      <c r="F84" s="7" t="s">
        <v>280</v>
      </c>
      <c r="G84" s="8"/>
      <c r="H84" s="6"/>
      <c r="I84" s="9"/>
      <c r="J84" s="9"/>
      <c r="K84" s="8"/>
      <c r="L84" s="6"/>
      <c r="M84" s="6" t="s">
        <v>281</v>
      </c>
    </row>
    <row r="85" customFormat="false" ht="33.75" hidden="false" customHeight="true" outlineLevel="0" collapsed="false">
      <c r="B85" s="4" t="s">
        <v>272</v>
      </c>
      <c r="C85" s="5" t="s">
        <v>18</v>
      </c>
      <c r="D85" s="6" t="s">
        <v>282</v>
      </c>
      <c r="E85" s="6" t="s">
        <v>283</v>
      </c>
      <c r="F85" s="7" t="s">
        <v>116</v>
      </c>
      <c r="G85" s="8"/>
      <c r="H85" s="6"/>
      <c r="I85" s="9"/>
      <c r="J85" s="9"/>
      <c r="K85" s="8"/>
      <c r="L85" s="6"/>
      <c r="M85" s="6" t="s">
        <v>284</v>
      </c>
    </row>
    <row r="86" customFormat="false" ht="33.75" hidden="false" customHeight="true" outlineLevel="0" collapsed="false">
      <c r="B86" s="4" t="s">
        <v>272</v>
      </c>
      <c r="C86" s="5" t="s">
        <v>18</v>
      </c>
      <c r="D86" s="6" t="s">
        <v>285</v>
      </c>
      <c r="E86" s="6" t="s">
        <v>286</v>
      </c>
      <c r="F86" s="7" t="s">
        <v>149</v>
      </c>
      <c r="G86" s="8"/>
      <c r="H86" s="6"/>
      <c r="I86" s="9"/>
      <c r="J86" s="9"/>
      <c r="K86" s="8"/>
      <c r="L86" s="6"/>
      <c r="M86" s="6" t="s">
        <v>287</v>
      </c>
    </row>
    <row r="87" customFormat="false" ht="33.75" hidden="false" customHeight="true" outlineLevel="0" collapsed="false">
      <c r="B87" s="4" t="s">
        <v>272</v>
      </c>
      <c r="C87" s="5" t="s">
        <v>18</v>
      </c>
      <c r="D87" s="6" t="s">
        <v>288</v>
      </c>
      <c r="E87" s="6" t="s">
        <v>289</v>
      </c>
      <c r="F87" s="7" t="s">
        <v>290</v>
      </c>
      <c r="G87" s="8"/>
      <c r="H87" s="6"/>
      <c r="I87" s="9"/>
      <c r="J87" s="9"/>
      <c r="K87" s="8"/>
      <c r="L87" s="6"/>
      <c r="M87" s="6" t="s">
        <v>291</v>
      </c>
    </row>
    <row r="88" customFormat="false" ht="33.75" hidden="false" customHeight="true" outlineLevel="0" collapsed="false">
      <c r="B88" s="4" t="s">
        <v>272</v>
      </c>
      <c r="C88" s="5" t="s">
        <v>18</v>
      </c>
      <c r="D88" s="6" t="s">
        <v>292</v>
      </c>
      <c r="E88" s="6" t="s">
        <v>293</v>
      </c>
      <c r="F88" s="7" t="s">
        <v>87</v>
      </c>
      <c r="G88" s="8"/>
      <c r="H88" s="6"/>
      <c r="I88" s="9"/>
      <c r="J88" s="9"/>
      <c r="K88" s="8"/>
      <c r="L88" s="6"/>
      <c r="M88" s="6" t="s">
        <v>294</v>
      </c>
    </row>
    <row r="89" customFormat="false" ht="48" hidden="false" customHeight="true" outlineLevel="0" collapsed="false">
      <c r="B89" s="4" t="s">
        <v>272</v>
      </c>
      <c r="C89" s="5" t="s">
        <v>295</v>
      </c>
      <c r="D89" s="6" t="s">
        <v>296</v>
      </c>
      <c r="E89" s="6"/>
      <c r="F89" s="7" t="s">
        <v>297</v>
      </c>
      <c r="G89" s="8"/>
      <c r="H89" s="6"/>
      <c r="I89" s="9"/>
      <c r="J89" s="9"/>
      <c r="K89" s="8"/>
      <c r="L89" s="6"/>
      <c r="M89" s="6"/>
    </row>
    <row r="90" customFormat="false" ht="48" hidden="false" customHeight="true" outlineLevel="0" collapsed="false">
      <c r="B90" s="4" t="s">
        <v>272</v>
      </c>
      <c r="C90" s="5" t="s">
        <v>49</v>
      </c>
      <c r="D90" s="10" t="s">
        <v>298</v>
      </c>
      <c r="E90" s="6" t="s">
        <v>299</v>
      </c>
      <c r="F90" s="7" t="s">
        <v>73</v>
      </c>
      <c r="G90" s="8"/>
      <c r="H90" s="6"/>
      <c r="I90" s="9"/>
      <c r="J90" s="9"/>
      <c r="K90" s="8"/>
      <c r="L90" s="6" t="s">
        <v>300</v>
      </c>
      <c r="M90" s="6" t="s">
        <v>301</v>
      </c>
    </row>
    <row r="91" customFormat="false" ht="33.75" hidden="false" customHeight="true" outlineLevel="0" collapsed="false">
      <c r="B91" s="4" t="s">
        <v>272</v>
      </c>
      <c r="C91" s="5" t="s">
        <v>49</v>
      </c>
      <c r="D91" s="10" t="s">
        <v>302</v>
      </c>
      <c r="E91" s="6" t="s">
        <v>303</v>
      </c>
      <c r="F91" s="7" t="s">
        <v>110</v>
      </c>
      <c r="G91" s="8"/>
      <c r="H91" s="6"/>
      <c r="I91" s="9"/>
      <c r="J91" s="9"/>
      <c r="K91" s="8"/>
      <c r="L91" s="6" t="s">
        <v>304</v>
      </c>
      <c r="M91" s="6" t="s">
        <v>305</v>
      </c>
    </row>
    <row r="92" customFormat="false" ht="33.75" hidden="false" customHeight="true" outlineLevel="0" collapsed="false">
      <c r="B92" s="4" t="s">
        <v>272</v>
      </c>
      <c r="C92" s="5" t="s">
        <v>49</v>
      </c>
      <c r="D92" s="10" t="s">
        <v>306</v>
      </c>
      <c r="E92" s="6" t="s">
        <v>307</v>
      </c>
      <c r="F92" s="7" t="s">
        <v>134</v>
      </c>
      <c r="G92" s="8"/>
      <c r="H92" s="6"/>
      <c r="I92" s="9"/>
      <c r="J92" s="9"/>
      <c r="K92" s="8"/>
      <c r="L92" s="6" t="s">
        <v>308</v>
      </c>
      <c r="M92" s="6" t="s">
        <v>309</v>
      </c>
    </row>
    <row r="93" customFormat="false" ht="33.75" hidden="false" customHeight="true" outlineLevel="0" collapsed="false">
      <c r="B93" s="4" t="s">
        <v>272</v>
      </c>
      <c r="C93" s="5" t="s">
        <v>49</v>
      </c>
      <c r="D93" s="10" t="s">
        <v>310</v>
      </c>
      <c r="E93" s="6" t="s">
        <v>311</v>
      </c>
      <c r="F93" s="7" t="s">
        <v>312</v>
      </c>
      <c r="G93" s="8"/>
      <c r="H93" s="6"/>
      <c r="I93" s="9"/>
      <c r="J93" s="9"/>
      <c r="K93" s="8"/>
      <c r="L93" s="6" t="s">
        <v>53</v>
      </c>
      <c r="M93" s="6" t="s">
        <v>313</v>
      </c>
    </row>
    <row r="94" customFormat="false" ht="90" hidden="false" customHeight="true" outlineLevel="0" collapsed="false">
      <c r="B94" s="4" t="s">
        <v>272</v>
      </c>
      <c r="C94" s="5" t="s">
        <v>49</v>
      </c>
      <c r="D94" s="10" t="s">
        <v>314</v>
      </c>
      <c r="E94" s="10" t="s">
        <v>315</v>
      </c>
      <c r="F94" s="7" t="s">
        <v>110</v>
      </c>
      <c r="G94" s="8"/>
      <c r="H94" s="6"/>
      <c r="I94" s="9"/>
      <c r="J94" s="9"/>
      <c r="K94" s="8"/>
      <c r="L94" s="6" t="s">
        <v>316</v>
      </c>
      <c r="M94" s="6" t="s">
        <v>317</v>
      </c>
    </row>
    <row r="95" customFormat="false" ht="33.75" hidden="false" customHeight="true" outlineLevel="0" collapsed="false">
      <c r="B95" s="4" t="s">
        <v>272</v>
      </c>
      <c r="C95" s="5" t="s">
        <v>49</v>
      </c>
      <c r="D95" s="10" t="s">
        <v>318</v>
      </c>
      <c r="E95" s="6" t="s">
        <v>319</v>
      </c>
      <c r="F95" s="7" t="s">
        <v>320</v>
      </c>
      <c r="G95" s="8"/>
      <c r="H95" s="6"/>
      <c r="I95" s="9"/>
      <c r="J95" s="9"/>
      <c r="K95" s="8"/>
      <c r="L95" s="6" t="s">
        <v>321</v>
      </c>
      <c r="M95" s="6" t="s">
        <v>322</v>
      </c>
    </row>
    <row r="96" customFormat="false" ht="19.5" hidden="false" customHeight="true" outlineLevel="0" collapsed="false">
      <c r="B96" s="4" t="s">
        <v>272</v>
      </c>
      <c r="C96" s="5" t="s">
        <v>49</v>
      </c>
      <c r="D96" s="10" t="s">
        <v>323</v>
      </c>
      <c r="E96" s="6" t="s">
        <v>324</v>
      </c>
      <c r="F96" s="7" t="s">
        <v>325</v>
      </c>
      <c r="G96" s="8"/>
      <c r="H96" s="6"/>
      <c r="I96" s="9"/>
      <c r="J96" s="9"/>
      <c r="K96" s="8"/>
      <c r="L96" s="6" t="s">
        <v>326</v>
      </c>
      <c r="M96" s="6"/>
    </row>
    <row r="97" customFormat="false" ht="48" hidden="false" customHeight="true" outlineLevel="0" collapsed="false">
      <c r="B97" s="4" t="s">
        <v>272</v>
      </c>
      <c r="C97" s="5" t="s">
        <v>39</v>
      </c>
      <c r="D97" s="10" t="s">
        <v>327</v>
      </c>
      <c r="E97" s="6" t="s">
        <v>328</v>
      </c>
      <c r="F97" s="7" t="s">
        <v>191</v>
      </c>
      <c r="G97" s="8"/>
      <c r="H97" s="6"/>
      <c r="I97" s="9"/>
      <c r="J97" s="9"/>
      <c r="K97" s="8"/>
      <c r="L97" s="6"/>
      <c r="M97" s="6" t="s">
        <v>329</v>
      </c>
    </row>
    <row r="98" customFormat="false" ht="90" hidden="false" customHeight="true" outlineLevel="0" collapsed="false">
      <c r="B98" s="4" t="s">
        <v>272</v>
      </c>
      <c r="C98" s="5" t="s">
        <v>49</v>
      </c>
      <c r="D98" s="6" t="s">
        <v>330</v>
      </c>
      <c r="E98" s="6" t="s">
        <v>331</v>
      </c>
      <c r="F98" s="7" t="s">
        <v>176</v>
      </c>
      <c r="G98" s="8"/>
      <c r="H98" s="6"/>
      <c r="I98" s="9"/>
      <c r="J98" s="9"/>
      <c r="K98" s="8"/>
      <c r="L98" s="6"/>
      <c r="M98" s="6"/>
    </row>
    <row r="99" customFormat="false" ht="48" hidden="false" customHeight="true" outlineLevel="0" collapsed="false">
      <c r="B99" s="4" t="s">
        <v>272</v>
      </c>
      <c r="C99" s="5" t="s">
        <v>49</v>
      </c>
      <c r="D99" s="6" t="s">
        <v>332</v>
      </c>
      <c r="E99" s="6" t="s">
        <v>333</v>
      </c>
      <c r="F99" s="7" t="s">
        <v>73</v>
      </c>
      <c r="G99" s="8"/>
      <c r="H99" s="6"/>
      <c r="I99" s="9"/>
      <c r="J99" s="9"/>
      <c r="K99" s="8"/>
      <c r="L99" s="6"/>
      <c r="M99" s="6"/>
    </row>
    <row r="100" customFormat="false" ht="33.75" hidden="false" customHeight="true" outlineLevel="0" collapsed="false">
      <c r="B100" s="4" t="s">
        <v>272</v>
      </c>
      <c r="C100" s="5" t="s">
        <v>18</v>
      </c>
      <c r="D100" s="6" t="s">
        <v>334</v>
      </c>
      <c r="E100" s="6" t="s">
        <v>335</v>
      </c>
      <c r="F100" s="7" t="s">
        <v>102</v>
      </c>
      <c r="G100" s="8"/>
      <c r="H100" s="6"/>
      <c r="I100" s="9"/>
      <c r="J100" s="9"/>
      <c r="K100" s="8"/>
      <c r="L100" s="6" t="s">
        <v>336</v>
      </c>
      <c r="M100" s="6"/>
    </row>
    <row r="101" customFormat="false" ht="48" hidden="false" customHeight="true" outlineLevel="0" collapsed="false">
      <c r="B101" s="4" t="s">
        <v>17</v>
      </c>
      <c r="C101" s="5" t="s">
        <v>58</v>
      </c>
      <c r="D101" s="10" t="s">
        <v>337</v>
      </c>
      <c r="E101" s="6" t="s">
        <v>338</v>
      </c>
      <c r="F101" s="7" t="s">
        <v>339</v>
      </c>
      <c r="G101" s="8"/>
      <c r="H101" s="6"/>
      <c r="I101" s="9"/>
      <c r="J101" s="9"/>
      <c r="K101" s="8"/>
      <c r="L101" s="6" t="s">
        <v>340</v>
      </c>
      <c r="M101" s="6" t="s">
        <v>341</v>
      </c>
    </row>
    <row r="102" customFormat="false" ht="33.75" hidden="false" customHeight="true" outlineLevel="0" collapsed="false">
      <c r="B102" s="4" t="s">
        <v>17</v>
      </c>
      <c r="C102" s="5" t="s">
        <v>58</v>
      </c>
      <c r="D102" s="10" t="s">
        <v>342</v>
      </c>
      <c r="E102" s="6" t="s">
        <v>343</v>
      </c>
      <c r="F102" s="7" t="s">
        <v>344</v>
      </c>
      <c r="G102" s="8"/>
      <c r="H102" s="6"/>
      <c r="I102" s="9"/>
      <c r="J102" s="9"/>
      <c r="K102" s="8"/>
      <c r="L102" s="6" t="s">
        <v>345</v>
      </c>
      <c r="M102" s="6" t="s">
        <v>346</v>
      </c>
    </row>
    <row r="103" customFormat="false" ht="48" hidden="false" customHeight="true" outlineLevel="0" collapsed="false">
      <c r="B103" s="4" t="s">
        <v>17</v>
      </c>
      <c r="C103" s="5" t="s">
        <v>58</v>
      </c>
      <c r="D103" s="6" t="s">
        <v>347</v>
      </c>
      <c r="E103" s="6" t="s">
        <v>348</v>
      </c>
      <c r="F103" s="7" t="s">
        <v>349</v>
      </c>
      <c r="G103" s="8"/>
      <c r="H103" s="6"/>
      <c r="I103" s="9"/>
      <c r="J103" s="9"/>
      <c r="K103" s="8"/>
      <c r="L103" s="6" t="s">
        <v>350</v>
      </c>
      <c r="M103" s="6" t="s">
        <v>351</v>
      </c>
    </row>
    <row r="104" customFormat="false" ht="33.75" hidden="false" customHeight="true" outlineLevel="0" collapsed="false">
      <c r="B104" s="4" t="s">
        <v>84</v>
      </c>
      <c r="C104" s="5" t="s">
        <v>49</v>
      </c>
      <c r="D104" s="10" t="s">
        <v>352</v>
      </c>
      <c r="E104" s="6" t="s">
        <v>353</v>
      </c>
      <c r="F104" s="7" t="s">
        <v>73</v>
      </c>
      <c r="G104" s="8"/>
      <c r="H104" s="6"/>
      <c r="I104" s="9"/>
      <c r="J104" s="9"/>
      <c r="K104" s="8"/>
      <c r="L104" s="6" t="s">
        <v>354</v>
      </c>
      <c r="M104" s="6" t="s">
        <v>355</v>
      </c>
    </row>
    <row r="105" customFormat="false" ht="33.75" hidden="false" customHeight="true" outlineLevel="0" collapsed="false">
      <c r="B105" s="4" t="s">
        <v>216</v>
      </c>
      <c r="C105" s="5" t="s">
        <v>18</v>
      </c>
      <c r="D105" s="6" t="s">
        <v>356</v>
      </c>
      <c r="E105" s="6"/>
      <c r="F105" s="7" t="s">
        <v>357</v>
      </c>
      <c r="G105" s="5" t="s">
        <v>358</v>
      </c>
      <c r="H105" s="6"/>
      <c r="I105" s="9"/>
      <c r="J105" s="9"/>
      <c r="K105" s="8"/>
      <c r="L105" s="10" t="s">
        <v>359</v>
      </c>
      <c r="M105" s="6" t="s">
        <v>360</v>
      </c>
    </row>
    <row r="106" customFormat="false" ht="75.75" hidden="false" customHeight="true" outlineLevel="0" collapsed="false">
      <c r="B106" s="4" t="s">
        <v>143</v>
      </c>
      <c r="C106" s="5" t="s">
        <v>18</v>
      </c>
      <c r="D106" s="10" t="s">
        <v>361</v>
      </c>
      <c r="E106" s="10" t="s">
        <v>362</v>
      </c>
      <c r="F106" s="7" t="s">
        <v>87</v>
      </c>
      <c r="G106" s="5" t="s">
        <v>363</v>
      </c>
      <c r="H106" s="6" t="s">
        <v>364</v>
      </c>
      <c r="I106" s="9"/>
      <c r="J106" s="9"/>
      <c r="K106" s="8"/>
      <c r="L106" s="10" t="s">
        <v>365</v>
      </c>
      <c r="M106" s="6" t="s">
        <v>366</v>
      </c>
    </row>
    <row r="107" customFormat="false" ht="33.75" hidden="false" customHeight="true" outlineLevel="0" collapsed="false">
      <c r="B107" s="4" t="s">
        <v>143</v>
      </c>
      <c r="C107" s="5" t="s">
        <v>18</v>
      </c>
      <c r="D107" s="6" t="s">
        <v>367</v>
      </c>
      <c r="E107" s="6" t="s">
        <v>368</v>
      </c>
      <c r="F107" s="7" t="s">
        <v>369</v>
      </c>
      <c r="G107" s="5" t="s">
        <v>358</v>
      </c>
      <c r="H107" s="6"/>
      <c r="I107" s="9"/>
      <c r="J107" s="9"/>
      <c r="K107" s="8"/>
      <c r="L107" s="10" t="s">
        <v>370</v>
      </c>
      <c r="M107" s="6"/>
    </row>
    <row r="108" customFormat="false" ht="33.75" hidden="false" customHeight="true" outlineLevel="0" collapsed="false">
      <c r="B108" s="4" t="s">
        <v>17</v>
      </c>
      <c r="C108" s="5" t="s">
        <v>18</v>
      </c>
      <c r="D108" s="6" t="s">
        <v>371</v>
      </c>
      <c r="E108" s="10" t="s">
        <v>372</v>
      </c>
      <c r="F108" s="7" t="s">
        <v>373</v>
      </c>
      <c r="G108" s="5" t="s">
        <v>374</v>
      </c>
      <c r="H108" s="6" t="s">
        <v>375</v>
      </c>
      <c r="I108" s="9"/>
      <c r="J108" s="9"/>
      <c r="K108" s="8"/>
      <c r="L108" s="6" t="s">
        <v>376</v>
      </c>
      <c r="M108" s="6"/>
    </row>
    <row r="109" customFormat="false" ht="33.75" hidden="false" customHeight="true" outlineLevel="0" collapsed="false">
      <c r="B109" s="4" t="s">
        <v>272</v>
      </c>
      <c r="C109" s="5" t="s">
        <v>18</v>
      </c>
      <c r="D109" s="6" t="s">
        <v>377</v>
      </c>
      <c r="E109" s="6" t="s">
        <v>378</v>
      </c>
      <c r="F109" s="7" t="s">
        <v>37</v>
      </c>
      <c r="G109" s="5" t="s">
        <v>374</v>
      </c>
      <c r="H109" s="6" t="s">
        <v>379</v>
      </c>
      <c r="I109" s="9"/>
      <c r="J109" s="9"/>
      <c r="K109" s="8"/>
      <c r="L109" s="6" t="s">
        <v>380</v>
      </c>
      <c r="M109" s="6" t="s">
        <v>381</v>
      </c>
    </row>
    <row r="110" customFormat="false" ht="48" hidden="false" customHeight="true" outlineLevel="0" collapsed="false">
      <c r="B110" s="4" t="s">
        <v>272</v>
      </c>
      <c r="C110" s="5" t="s">
        <v>49</v>
      </c>
      <c r="D110" s="10" t="s">
        <v>382</v>
      </c>
      <c r="E110" s="6" t="s">
        <v>383</v>
      </c>
      <c r="F110" s="7" t="s">
        <v>325</v>
      </c>
      <c r="G110" s="5" t="s">
        <v>374</v>
      </c>
      <c r="H110" s="10" t="s">
        <v>384</v>
      </c>
      <c r="I110" s="9"/>
      <c r="J110" s="9"/>
      <c r="K110" s="8"/>
      <c r="L110" s="6" t="s">
        <v>385</v>
      </c>
      <c r="M110" s="6" t="s">
        <v>386</v>
      </c>
    </row>
    <row r="111" customFormat="false" ht="61.5" hidden="false" customHeight="true" outlineLevel="0" collapsed="false">
      <c r="B111" s="4" t="s">
        <v>143</v>
      </c>
      <c r="C111" s="5" t="s">
        <v>18</v>
      </c>
      <c r="D111" s="6" t="s">
        <v>387</v>
      </c>
      <c r="E111" s="6"/>
      <c r="F111" s="7" t="s">
        <v>388</v>
      </c>
      <c r="G111" s="5" t="s">
        <v>374</v>
      </c>
      <c r="H111" s="6" t="s">
        <v>374</v>
      </c>
      <c r="I111" s="9"/>
      <c r="J111" s="9"/>
      <c r="K111" s="8"/>
      <c r="L111" s="6" t="s">
        <v>389</v>
      </c>
      <c r="M111" s="6" t="s">
        <v>390</v>
      </c>
    </row>
    <row r="112" customFormat="false" ht="48" hidden="false" customHeight="true" outlineLevel="0" collapsed="false">
      <c r="B112" s="4" t="s">
        <v>113</v>
      </c>
      <c r="C112" s="5" t="s">
        <v>18</v>
      </c>
      <c r="D112" s="10" t="s">
        <v>391</v>
      </c>
      <c r="E112" s="10" t="s">
        <v>392</v>
      </c>
      <c r="F112" s="7" t="s">
        <v>393</v>
      </c>
      <c r="G112" s="5" t="s">
        <v>374</v>
      </c>
      <c r="H112" s="6"/>
      <c r="I112" s="9"/>
      <c r="J112" s="9"/>
      <c r="K112" s="8"/>
      <c r="L112" s="6" t="s">
        <v>394</v>
      </c>
      <c r="M112" s="6" t="s">
        <v>395</v>
      </c>
    </row>
    <row r="113" customFormat="false" ht="33.75" hidden="false" customHeight="true" outlineLevel="0" collapsed="false">
      <c r="B113" s="4" t="s">
        <v>84</v>
      </c>
      <c r="C113" s="5" t="s">
        <v>18</v>
      </c>
      <c r="D113" s="10" t="s">
        <v>396</v>
      </c>
      <c r="E113" s="10" t="s">
        <v>397</v>
      </c>
      <c r="F113" s="7" t="s">
        <v>91</v>
      </c>
      <c r="G113" s="5" t="s">
        <v>374</v>
      </c>
      <c r="H113" s="10" t="s">
        <v>398</v>
      </c>
      <c r="I113" s="9"/>
      <c r="J113" s="9"/>
      <c r="K113" s="8"/>
      <c r="L113" s="6" t="s">
        <v>399</v>
      </c>
      <c r="M113" s="6" t="s">
        <v>355</v>
      </c>
    </row>
  </sheetData>
  <autoFilter ref="B7:M113"/>
  <dataValidations count="4">
    <dataValidation allowBlank="true" errorStyle="stop" operator="between" showDropDown="false" showErrorMessage="false" showInputMessage="false" sqref="B8:B313" type="list">
      <formula1>'분류 목록'!$B$3:$B$30</formula1>
      <formula2>0</formula2>
    </dataValidation>
    <dataValidation allowBlank="true" errorStyle="stop" operator="between" showDropDown="false" showErrorMessage="false" showInputMessage="false" sqref="C8:C313" type="list">
      <formula1>'분류 목록'!$C$3:$C$30</formula1>
      <formula2>0</formula2>
    </dataValidation>
    <dataValidation allowBlank="true" errorStyle="stop" operator="between" showDropDown="false" showErrorMessage="false" showInputMessage="false" sqref="G8:G313" type="list">
      <formula1>'분류 목록'!$D$3:$D$30</formula1>
      <formula2>0</formula2>
    </dataValidation>
    <dataValidation allowBlank="true" errorStyle="stop" operator="between" showDropDown="false" showErrorMessage="false" showInputMessage="false" sqref="K8:K313" type="list">
      <formula1>'분류 목록'!$E$3:$E$30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4"/>
    <col collapsed="false" customWidth="true" hidden="false" outlineLevel="0" max="4" min="4" style="0" width="36"/>
    <col collapsed="false" customWidth="true" hidden="false" outlineLevel="0" max="5" min="5" style="0" width="70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3" min="12" style="0" width="48"/>
  </cols>
  <sheetData>
    <row r="1" customFormat="false" ht="36" hidden="false" customHeight="true" outlineLevel="0" collapsed="false">
      <c r="B1" s="1" t="s">
        <v>400</v>
      </c>
    </row>
    <row r="2" customFormat="false" ht="15" hidden="false" customHeight="false" outlineLevel="0" collapsed="false">
      <c r="B2" s="2" t="s">
        <v>401</v>
      </c>
    </row>
    <row r="4" customFormat="false" ht="24" hidden="false" customHeight="true" outlineLevel="0" collapsed="false"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</row>
    <row r="5" customFormat="false" ht="33.75" hidden="false" customHeight="true" outlineLevel="0" collapsed="false">
      <c r="B5" s="4" t="s">
        <v>143</v>
      </c>
      <c r="C5" s="5" t="s">
        <v>402</v>
      </c>
      <c r="D5" s="6" t="s">
        <v>403</v>
      </c>
      <c r="E5" s="10" t="s">
        <v>404</v>
      </c>
      <c r="F5" s="7" t="s">
        <v>405</v>
      </c>
      <c r="G5" s="8"/>
      <c r="H5" s="6"/>
      <c r="I5" s="9"/>
      <c r="J5" s="9"/>
      <c r="K5" s="8"/>
      <c r="L5" s="6"/>
      <c r="M5" s="6" t="s">
        <v>406</v>
      </c>
    </row>
    <row r="6" customFormat="false" ht="19.5" hidden="false" customHeight="true" outlineLevel="0" collapsed="false">
      <c r="B6" s="4" t="s">
        <v>143</v>
      </c>
      <c r="C6" s="5" t="s">
        <v>402</v>
      </c>
      <c r="D6" s="6" t="s">
        <v>407</v>
      </c>
      <c r="E6" s="6" t="s">
        <v>408</v>
      </c>
      <c r="F6" s="7" t="s">
        <v>409</v>
      </c>
      <c r="G6" s="8"/>
      <c r="H6" s="6"/>
      <c r="I6" s="9"/>
      <c r="J6" s="9"/>
      <c r="K6" s="8"/>
      <c r="L6" s="6"/>
      <c r="M6" s="6"/>
    </row>
    <row r="7" customFormat="false" ht="61.5" hidden="false" customHeight="true" outlineLevel="0" collapsed="false">
      <c r="B7" s="4" t="s">
        <v>216</v>
      </c>
      <c r="C7" s="5" t="s">
        <v>402</v>
      </c>
      <c r="D7" s="10" t="s">
        <v>410</v>
      </c>
      <c r="E7" s="6" t="s">
        <v>411</v>
      </c>
      <c r="F7" s="7" t="s">
        <v>102</v>
      </c>
      <c r="G7" s="8"/>
      <c r="H7" s="6"/>
      <c r="I7" s="9"/>
      <c r="J7" s="9"/>
      <c r="K7" s="8"/>
      <c r="L7" s="6"/>
      <c r="M7" s="6" t="s">
        <v>412</v>
      </c>
    </row>
    <row r="8" customFormat="false" ht="33.75" hidden="false" customHeight="true" outlineLevel="0" collapsed="false">
      <c r="B8" s="4" t="s">
        <v>143</v>
      </c>
      <c r="C8" s="5" t="s">
        <v>402</v>
      </c>
      <c r="D8" s="6" t="s">
        <v>413</v>
      </c>
      <c r="E8" s="6" t="s">
        <v>414</v>
      </c>
      <c r="F8" s="7" t="s">
        <v>116</v>
      </c>
      <c r="G8" s="8"/>
      <c r="H8" s="6"/>
      <c r="I8" s="9"/>
      <c r="J8" s="9"/>
      <c r="K8" s="8"/>
      <c r="L8" s="6"/>
      <c r="M8" s="6" t="s">
        <v>415</v>
      </c>
    </row>
    <row r="9" customFormat="false" ht="19.5" hidden="false" customHeight="true" outlineLevel="0" collapsed="false">
      <c r="B9" s="4" t="s">
        <v>143</v>
      </c>
      <c r="C9" s="5" t="s">
        <v>402</v>
      </c>
      <c r="D9" s="6" t="s">
        <v>416</v>
      </c>
      <c r="E9" s="6" t="s">
        <v>417</v>
      </c>
      <c r="F9" s="7" t="s">
        <v>418</v>
      </c>
      <c r="G9" s="8"/>
      <c r="H9" s="6"/>
      <c r="I9" s="9"/>
      <c r="J9" s="9"/>
      <c r="K9" s="8"/>
      <c r="L9" s="6"/>
      <c r="M9" s="6" t="s">
        <v>419</v>
      </c>
    </row>
    <row r="10" customFormat="false" ht="61.5" hidden="false" customHeight="true" outlineLevel="0" collapsed="false">
      <c r="B10" s="4" t="s">
        <v>143</v>
      </c>
      <c r="C10" s="5" t="s">
        <v>402</v>
      </c>
      <c r="D10" s="6" t="s">
        <v>420</v>
      </c>
      <c r="E10" s="6" t="s">
        <v>421</v>
      </c>
      <c r="F10" s="7" t="s">
        <v>422</v>
      </c>
      <c r="G10" s="8"/>
      <c r="H10" s="6"/>
      <c r="I10" s="9"/>
      <c r="J10" s="9"/>
      <c r="K10" s="8"/>
      <c r="L10" s="6"/>
      <c r="M10" s="6" t="s">
        <v>423</v>
      </c>
    </row>
    <row r="11" customFormat="false" ht="33.75" hidden="false" customHeight="true" outlineLevel="0" collapsed="false">
      <c r="B11" s="4" t="s">
        <v>143</v>
      </c>
      <c r="C11" s="5" t="s">
        <v>402</v>
      </c>
      <c r="D11" s="6" t="s">
        <v>424</v>
      </c>
      <c r="E11" s="6" t="s">
        <v>425</v>
      </c>
      <c r="F11" s="7" t="s">
        <v>426</v>
      </c>
      <c r="G11" s="8"/>
      <c r="H11" s="6"/>
      <c r="I11" s="9"/>
      <c r="J11" s="9"/>
      <c r="K11" s="8"/>
      <c r="L11" s="6"/>
      <c r="M11" s="6" t="s">
        <v>427</v>
      </c>
    </row>
    <row r="12" customFormat="false" ht="19.5" hidden="false" customHeight="true" outlineLevel="0" collapsed="false">
      <c r="B12" s="4" t="s">
        <v>143</v>
      </c>
      <c r="C12" s="5" t="s">
        <v>402</v>
      </c>
      <c r="D12" s="6" t="s">
        <v>428</v>
      </c>
      <c r="E12" s="6"/>
      <c r="F12" s="7" t="s">
        <v>429</v>
      </c>
      <c r="G12" s="8"/>
      <c r="H12" s="6"/>
      <c r="I12" s="9"/>
      <c r="J12" s="9"/>
      <c r="K12" s="8"/>
      <c r="L12" s="6"/>
      <c r="M12" s="6"/>
    </row>
    <row r="13" customFormat="false" ht="19.5" hidden="false" customHeight="true" outlineLevel="0" collapsed="false">
      <c r="B13" s="4" t="s">
        <v>143</v>
      </c>
      <c r="C13" s="5" t="s">
        <v>402</v>
      </c>
      <c r="D13" s="6" t="s">
        <v>430</v>
      </c>
      <c r="E13" s="6"/>
      <c r="F13" s="7" t="s">
        <v>431</v>
      </c>
      <c r="G13" s="8"/>
      <c r="H13" s="6"/>
      <c r="I13" s="9"/>
      <c r="J13" s="9"/>
      <c r="K13" s="8"/>
      <c r="L13" s="6"/>
      <c r="M13" s="6"/>
    </row>
    <row r="14" customFormat="false" ht="19.5" hidden="false" customHeight="true" outlineLevel="0" collapsed="false">
      <c r="B14" s="4" t="s">
        <v>143</v>
      </c>
      <c r="C14" s="5" t="s">
        <v>402</v>
      </c>
      <c r="D14" s="10" t="s">
        <v>432</v>
      </c>
      <c r="E14" s="6"/>
      <c r="F14" s="7" t="s">
        <v>433</v>
      </c>
      <c r="G14" s="8"/>
      <c r="H14" s="6"/>
      <c r="I14" s="9"/>
      <c r="J14" s="9"/>
      <c r="K14" s="8"/>
      <c r="L14" s="6"/>
      <c r="M14" s="6"/>
    </row>
    <row r="15" customFormat="false" ht="33.75" hidden="false" customHeight="true" outlineLevel="0" collapsed="false">
      <c r="B15" s="4" t="s">
        <v>216</v>
      </c>
      <c r="C15" s="5" t="s">
        <v>402</v>
      </c>
      <c r="D15" s="10" t="s">
        <v>434</v>
      </c>
      <c r="E15" s="6" t="s">
        <v>435</v>
      </c>
      <c r="F15" s="7" t="s">
        <v>436</v>
      </c>
      <c r="G15" s="8"/>
      <c r="H15" s="6"/>
      <c r="I15" s="9"/>
      <c r="J15" s="9"/>
      <c r="K15" s="8"/>
      <c r="L15" s="6"/>
      <c r="M15" s="6" t="s">
        <v>437</v>
      </c>
    </row>
    <row r="16" customFormat="false" ht="33.75" hidden="false" customHeight="true" outlineLevel="0" collapsed="false">
      <c r="B16" s="4" t="s">
        <v>216</v>
      </c>
      <c r="C16" s="5" t="s">
        <v>402</v>
      </c>
      <c r="D16" s="10" t="s">
        <v>438</v>
      </c>
      <c r="E16" s="6" t="s">
        <v>439</v>
      </c>
      <c r="F16" s="7" t="s">
        <v>426</v>
      </c>
      <c r="G16" s="8"/>
      <c r="H16" s="6"/>
      <c r="I16" s="9"/>
      <c r="J16" s="9"/>
      <c r="K16" s="8"/>
      <c r="L16" s="6"/>
      <c r="M16" s="6" t="s">
        <v>440</v>
      </c>
    </row>
    <row r="17" customFormat="false" ht="33.75" hidden="false" customHeight="true" outlineLevel="0" collapsed="false">
      <c r="B17" s="4" t="s">
        <v>143</v>
      </c>
      <c r="C17" s="5" t="s">
        <v>402</v>
      </c>
      <c r="D17" s="6" t="s">
        <v>441</v>
      </c>
      <c r="E17" s="6" t="s">
        <v>425</v>
      </c>
      <c r="F17" s="7" t="s">
        <v>431</v>
      </c>
      <c r="G17" s="8"/>
      <c r="H17" s="6"/>
      <c r="I17" s="9"/>
      <c r="J17" s="9"/>
      <c r="K17" s="8"/>
      <c r="L17" s="6" t="s">
        <v>442</v>
      </c>
      <c r="M17" s="6" t="s">
        <v>427</v>
      </c>
    </row>
    <row r="18" customFormat="false" ht="33.75" hidden="false" customHeight="true" outlineLevel="0" collapsed="false">
      <c r="B18" s="4" t="s">
        <v>143</v>
      </c>
      <c r="C18" s="5" t="s">
        <v>402</v>
      </c>
      <c r="D18" s="6" t="s">
        <v>154</v>
      </c>
      <c r="E18" s="6" t="s">
        <v>155</v>
      </c>
      <c r="F18" s="7" t="s">
        <v>426</v>
      </c>
      <c r="G18" s="8"/>
      <c r="H18" s="6"/>
      <c r="I18" s="9"/>
      <c r="J18" s="9"/>
      <c r="K18" s="8"/>
      <c r="L18" s="6"/>
      <c r="M18" s="6" t="s">
        <v>443</v>
      </c>
    </row>
    <row r="19" customFormat="false" ht="33.75" hidden="false" customHeight="true" outlineLevel="0" collapsed="false">
      <c r="B19" s="4" t="s">
        <v>143</v>
      </c>
      <c r="C19" s="5" t="s">
        <v>402</v>
      </c>
      <c r="D19" s="10" t="s">
        <v>444</v>
      </c>
      <c r="E19" s="6" t="s">
        <v>445</v>
      </c>
      <c r="F19" s="7" t="s">
        <v>446</v>
      </c>
      <c r="G19" s="8"/>
      <c r="H19" s="6"/>
      <c r="I19" s="9"/>
      <c r="J19" s="9"/>
      <c r="K19" s="8"/>
      <c r="L19" s="6"/>
      <c r="M19" s="6" t="s">
        <v>447</v>
      </c>
    </row>
    <row r="20" customFormat="false" ht="33.75" hidden="false" customHeight="true" outlineLevel="0" collapsed="false">
      <c r="B20" s="4" t="s">
        <v>143</v>
      </c>
      <c r="C20" s="5" t="s">
        <v>402</v>
      </c>
      <c r="D20" s="10" t="s">
        <v>448</v>
      </c>
      <c r="E20" s="6" t="s">
        <v>449</v>
      </c>
      <c r="F20" s="7" t="s">
        <v>426</v>
      </c>
      <c r="G20" s="8"/>
      <c r="H20" s="6"/>
      <c r="I20" s="9"/>
      <c r="J20" s="9"/>
      <c r="K20" s="8"/>
      <c r="L20" s="6" t="s">
        <v>450</v>
      </c>
      <c r="M20" s="6"/>
    </row>
  </sheetData>
  <autoFilter ref="B4:M20"/>
  <dataValidations count="4">
    <dataValidation allowBlank="true" errorStyle="stop" operator="between" showDropDown="false" showErrorMessage="false" showInputMessage="false" sqref="B5:B220" type="list">
      <formula1>'분류 목록'!$B$3:$B$30</formula1>
      <formula2>0</formula2>
    </dataValidation>
    <dataValidation allowBlank="true" errorStyle="stop" operator="between" showDropDown="false" showErrorMessage="false" showInputMessage="false" sqref="C5:C220" type="list">
      <formula1>'분류 목록'!$C$3:$C$30</formula1>
      <formula2>0</formula2>
    </dataValidation>
    <dataValidation allowBlank="true" errorStyle="stop" operator="between" showDropDown="false" showErrorMessage="false" showInputMessage="false" sqref="G5:G220" type="list">
      <formula1>'분류 목록'!$D$3:$D$30</formula1>
      <formula2>0</formula2>
    </dataValidation>
    <dataValidation allowBlank="true" errorStyle="stop" operator="between" showDropDown="false" showErrorMessage="false" showInputMessage="false" sqref="K5:K220" type="list">
      <formula1>'분류 목록'!$E$3:$E$30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4"/>
    <col collapsed="false" customWidth="true" hidden="false" outlineLevel="0" max="4" min="4" style="0" width="36"/>
    <col collapsed="false" customWidth="true" hidden="false" outlineLevel="0" max="5" min="5" style="0" width="70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3" min="12" style="0" width="48"/>
  </cols>
  <sheetData>
    <row r="1" customFormat="false" ht="36" hidden="false" customHeight="true" outlineLevel="0" collapsed="false">
      <c r="B1" s="1" t="s">
        <v>451</v>
      </c>
    </row>
    <row r="2" customFormat="false" ht="15" hidden="false" customHeight="false" outlineLevel="0" collapsed="false">
      <c r="B2" s="2" t="s">
        <v>452</v>
      </c>
    </row>
    <row r="4" customFormat="false" ht="24" hidden="false" customHeight="true" outlineLevel="0" collapsed="false"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</row>
    <row r="5" customFormat="false" ht="33.75" hidden="false" customHeight="true" outlineLevel="0" collapsed="false">
      <c r="B5" s="4" t="s">
        <v>17</v>
      </c>
      <c r="C5" s="5" t="s">
        <v>453</v>
      </c>
      <c r="D5" s="6" t="s">
        <v>454</v>
      </c>
      <c r="E5" s="6" t="s">
        <v>455</v>
      </c>
      <c r="F5" s="7" t="s">
        <v>456</v>
      </c>
      <c r="G5" s="8"/>
      <c r="H5" s="6"/>
      <c r="I5" s="9"/>
      <c r="J5" s="9"/>
      <c r="K5" s="8"/>
      <c r="L5" s="6" t="s">
        <v>457</v>
      </c>
      <c r="M5" s="6"/>
    </row>
    <row r="6" customFormat="false" ht="33.75" hidden="false" customHeight="true" outlineLevel="0" collapsed="false">
      <c r="B6" s="4" t="s">
        <v>216</v>
      </c>
      <c r="C6" s="5" t="s">
        <v>453</v>
      </c>
      <c r="D6" s="6" t="s">
        <v>458</v>
      </c>
      <c r="E6" s="6" t="s">
        <v>459</v>
      </c>
      <c r="F6" s="7" t="s">
        <v>460</v>
      </c>
      <c r="G6" s="8"/>
      <c r="H6" s="6"/>
      <c r="I6" s="9"/>
      <c r="J6" s="9"/>
      <c r="K6" s="8"/>
      <c r="L6" s="6"/>
      <c r="M6" s="6" t="s">
        <v>461</v>
      </c>
    </row>
    <row r="7" customFormat="false" ht="61.5" hidden="false" customHeight="true" outlineLevel="0" collapsed="false">
      <c r="B7" s="4" t="s">
        <v>216</v>
      </c>
      <c r="C7" s="5" t="s">
        <v>453</v>
      </c>
      <c r="D7" s="6" t="s">
        <v>462</v>
      </c>
      <c r="E7" s="6" t="s">
        <v>463</v>
      </c>
      <c r="F7" s="7" t="s">
        <v>464</v>
      </c>
      <c r="G7" s="8"/>
      <c r="H7" s="6"/>
      <c r="I7" s="9"/>
      <c r="J7" s="9"/>
      <c r="K7" s="8"/>
      <c r="L7" s="6"/>
      <c r="M7" s="6"/>
    </row>
    <row r="8" customFormat="false" ht="33.75" hidden="false" customHeight="true" outlineLevel="0" collapsed="false">
      <c r="B8" s="4" t="s">
        <v>216</v>
      </c>
      <c r="C8" s="5" t="s">
        <v>453</v>
      </c>
      <c r="D8" s="10" t="s">
        <v>465</v>
      </c>
      <c r="E8" s="6" t="s">
        <v>466</v>
      </c>
      <c r="F8" s="7" t="s">
        <v>467</v>
      </c>
      <c r="G8" s="8"/>
      <c r="H8" s="6"/>
      <c r="I8" s="9"/>
      <c r="J8" s="9"/>
      <c r="K8" s="8"/>
      <c r="L8" s="6"/>
      <c r="M8" s="6" t="s">
        <v>468</v>
      </c>
    </row>
    <row r="9" customFormat="false" ht="19.5" hidden="false" customHeight="true" outlineLevel="0" collapsed="false">
      <c r="B9" s="4" t="s">
        <v>216</v>
      </c>
      <c r="C9" s="5" t="s">
        <v>453</v>
      </c>
      <c r="D9" s="10" t="s">
        <v>469</v>
      </c>
      <c r="E9" s="6" t="s">
        <v>470</v>
      </c>
      <c r="F9" s="7" t="s">
        <v>471</v>
      </c>
      <c r="G9" s="8"/>
      <c r="H9" s="6"/>
      <c r="I9" s="9"/>
      <c r="J9" s="9"/>
      <c r="K9" s="8"/>
      <c r="L9" s="6"/>
      <c r="M9" s="6" t="s">
        <v>472</v>
      </c>
    </row>
    <row r="10" customFormat="false" ht="33.75" hidden="false" customHeight="true" outlineLevel="0" collapsed="false">
      <c r="B10" s="4" t="s">
        <v>216</v>
      </c>
      <c r="C10" s="5" t="s">
        <v>453</v>
      </c>
      <c r="D10" s="10" t="s">
        <v>473</v>
      </c>
      <c r="E10" s="6" t="s">
        <v>474</v>
      </c>
      <c r="F10" s="7" t="s">
        <v>475</v>
      </c>
      <c r="G10" s="8"/>
      <c r="H10" s="6"/>
      <c r="I10" s="9"/>
      <c r="J10" s="9"/>
      <c r="K10" s="8"/>
      <c r="L10" s="6"/>
      <c r="M10" s="6"/>
    </row>
    <row r="11" customFormat="false" ht="33.75" hidden="false" customHeight="true" outlineLevel="0" collapsed="false">
      <c r="B11" s="4" t="s">
        <v>216</v>
      </c>
      <c r="C11" s="5" t="s">
        <v>453</v>
      </c>
      <c r="D11" s="10" t="s">
        <v>476</v>
      </c>
      <c r="E11" s="6" t="s">
        <v>477</v>
      </c>
      <c r="F11" s="7" t="s">
        <v>467</v>
      </c>
      <c r="G11" s="8"/>
      <c r="H11" s="6"/>
      <c r="I11" s="9"/>
      <c r="J11" s="9"/>
      <c r="K11" s="8"/>
      <c r="L11" s="6"/>
      <c r="M11" s="6" t="s">
        <v>478</v>
      </c>
    </row>
    <row r="12" customFormat="false" ht="33.75" hidden="false" customHeight="true" outlineLevel="0" collapsed="false">
      <c r="B12" s="4" t="s">
        <v>17</v>
      </c>
      <c r="C12" s="5" t="s">
        <v>453</v>
      </c>
      <c r="D12" s="10" t="s">
        <v>479</v>
      </c>
      <c r="E12" s="6" t="s">
        <v>480</v>
      </c>
      <c r="F12" s="7" t="s">
        <v>481</v>
      </c>
      <c r="G12" s="8"/>
      <c r="H12" s="6"/>
      <c r="I12" s="9"/>
      <c r="J12" s="9"/>
      <c r="K12" s="8"/>
      <c r="L12" s="6"/>
      <c r="M12" s="6"/>
    </row>
    <row r="13" customFormat="false" ht="33.75" hidden="false" customHeight="true" outlineLevel="0" collapsed="false">
      <c r="B13" s="4" t="s">
        <v>272</v>
      </c>
      <c r="C13" s="5" t="s">
        <v>453</v>
      </c>
      <c r="D13" s="10" t="s">
        <v>482</v>
      </c>
      <c r="E13" s="6" t="s">
        <v>483</v>
      </c>
      <c r="F13" s="7" t="s">
        <v>484</v>
      </c>
      <c r="G13" s="8"/>
      <c r="H13" s="6"/>
      <c r="I13" s="9"/>
      <c r="J13" s="9"/>
      <c r="K13" s="8"/>
      <c r="L13" s="6"/>
      <c r="M13" s="6"/>
    </row>
    <row r="14" customFormat="false" ht="33.75" hidden="false" customHeight="true" outlineLevel="0" collapsed="false">
      <c r="B14" s="4" t="s">
        <v>17</v>
      </c>
      <c r="C14" s="5" t="s">
        <v>453</v>
      </c>
      <c r="D14" s="10" t="s">
        <v>485</v>
      </c>
      <c r="E14" s="6" t="s">
        <v>486</v>
      </c>
      <c r="F14" s="7" t="s">
        <v>487</v>
      </c>
      <c r="G14" s="8"/>
      <c r="H14" s="6"/>
      <c r="I14" s="9"/>
      <c r="J14" s="9"/>
      <c r="K14" s="8"/>
      <c r="L14" s="6"/>
      <c r="M14" s="6" t="s">
        <v>488</v>
      </c>
    </row>
    <row r="15" customFormat="false" ht="48" hidden="false" customHeight="true" outlineLevel="0" collapsed="false">
      <c r="B15" s="4" t="s">
        <v>17</v>
      </c>
      <c r="C15" s="5" t="s">
        <v>453</v>
      </c>
      <c r="D15" s="10" t="s">
        <v>489</v>
      </c>
      <c r="E15" s="6" t="s">
        <v>490</v>
      </c>
      <c r="F15" s="7" t="s">
        <v>491</v>
      </c>
      <c r="G15" s="8"/>
      <c r="H15" s="6"/>
      <c r="I15" s="9"/>
      <c r="J15" s="9"/>
      <c r="K15" s="8"/>
      <c r="L15" s="6" t="s">
        <v>492</v>
      </c>
      <c r="M15" s="6"/>
    </row>
    <row r="16" customFormat="false" ht="33.75" hidden="false" customHeight="true" outlineLevel="0" collapsed="false">
      <c r="B16" s="4" t="s">
        <v>17</v>
      </c>
      <c r="C16" s="5" t="s">
        <v>453</v>
      </c>
      <c r="D16" s="10" t="s">
        <v>493</v>
      </c>
      <c r="E16" s="6"/>
      <c r="F16" s="7" t="s">
        <v>481</v>
      </c>
      <c r="G16" s="8"/>
      <c r="H16" s="6"/>
      <c r="I16" s="9"/>
      <c r="J16" s="9"/>
      <c r="K16" s="8"/>
      <c r="L16" s="6"/>
      <c r="M16" s="6"/>
    </row>
    <row r="17" customFormat="false" ht="19.5" hidden="false" customHeight="true" outlineLevel="0" collapsed="false">
      <c r="B17" s="4" t="s">
        <v>17</v>
      </c>
      <c r="C17" s="5" t="s">
        <v>453</v>
      </c>
      <c r="D17" s="10" t="s">
        <v>494</v>
      </c>
      <c r="E17" s="6" t="s">
        <v>495</v>
      </c>
      <c r="F17" s="7" t="s">
        <v>496</v>
      </c>
      <c r="G17" s="8"/>
      <c r="H17" s="6"/>
      <c r="I17" s="9"/>
      <c r="J17" s="9"/>
      <c r="K17" s="8"/>
      <c r="L17" s="6"/>
      <c r="M17" s="6"/>
    </row>
    <row r="18" customFormat="false" ht="33.75" hidden="false" customHeight="true" outlineLevel="0" collapsed="false">
      <c r="B18" s="4" t="s">
        <v>216</v>
      </c>
      <c r="C18" s="5" t="s">
        <v>453</v>
      </c>
      <c r="D18" s="10" t="s">
        <v>497</v>
      </c>
      <c r="E18" s="6" t="s">
        <v>498</v>
      </c>
      <c r="F18" s="7" t="s">
        <v>499</v>
      </c>
      <c r="G18" s="8"/>
      <c r="H18" s="6"/>
      <c r="I18" s="9"/>
      <c r="J18" s="9"/>
      <c r="K18" s="8"/>
      <c r="L18" s="6"/>
      <c r="M18" s="6"/>
    </row>
    <row r="19" customFormat="false" ht="33.75" hidden="false" customHeight="true" outlineLevel="0" collapsed="false">
      <c r="B19" s="4" t="s">
        <v>17</v>
      </c>
      <c r="C19" s="5" t="s">
        <v>453</v>
      </c>
      <c r="D19" s="10" t="s">
        <v>500</v>
      </c>
      <c r="E19" s="6" t="s">
        <v>501</v>
      </c>
      <c r="F19" s="7" t="s">
        <v>502</v>
      </c>
      <c r="G19" s="8"/>
      <c r="H19" s="6"/>
      <c r="I19" s="9"/>
      <c r="J19" s="9"/>
      <c r="K19" s="8"/>
      <c r="L19" s="6"/>
      <c r="M19" s="6"/>
    </row>
    <row r="20" customFormat="false" ht="19.5" hidden="false" customHeight="true" outlineLevel="0" collapsed="false">
      <c r="B20" s="4" t="s">
        <v>17</v>
      </c>
      <c r="C20" s="5" t="s">
        <v>453</v>
      </c>
      <c r="D20" s="10" t="s">
        <v>503</v>
      </c>
      <c r="E20" s="6" t="s">
        <v>504</v>
      </c>
      <c r="F20" s="7" t="s">
        <v>505</v>
      </c>
      <c r="G20" s="8"/>
      <c r="H20" s="6"/>
      <c r="I20" s="9"/>
      <c r="J20" s="9"/>
      <c r="K20" s="8"/>
      <c r="L20" s="6"/>
      <c r="M20" s="6"/>
    </row>
    <row r="21" customFormat="false" ht="33.75" hidden="false" customHeight="true" outlineLevel="0" collapsed="false">
      <c r="B21" s="4" t="s">
        <v>17</v>
      </c>
      <c r="C21" s="5" t="s">
        <v>453</v>
      </c>
      <c r="D21" s="10" t="s">
        <v>506</v>
      </c>
      <c r="E21" s="6" t="s">
        <v>507</v>
      </c>
      <c r="F21" s="7" t="s">
        <v>508</v>
      </c>
      <c r="G21" s="8"/>
      <c r="H21" s="6"/>
      <c r="I21" s="9"/>
      <c r="J21" s="9"/>
      <c r="K21" s="8"/>
      <c r="L21" s="6"/>
      <c r="M21" s="6" t="s">
        <v>509</v>
      </c>
    </row>
  </sheetData>
  <autoFilter ref="B4:M21"/>
  <dataValidations count="4">
    <dataValidation allowBlank="true" errorStyle="stop" operator="between" showDropDown="false" showErrorMessage="false" showInputMessage="false" sqref="B5:B221" type="list">
      <formula1>'분류 목록'!$B$3:$B$30</formula1>
      <formula2>0</formula2>
    </dataValidation>
    <dataValidation allowBlank="true" errorStyle="stop" operator="between" showDropDown="false" showErrorMessage="false" showInputMessage="false" sqref="C5:C221" type="list">
      <formula1>'분류 목록'!$C$3:$C$30</formula1>
      <formula2>0</formula2>
    </dataValidation>
    <dataValidation allowBlank="true" errorStyle="stop" operator="between" showDropDown="false" showErrorMessage="false" showInputMessage="false" sqref="G5:G221" type="list">
      <formula1>'분류 목록'!$D$3:$D$30</formula1>
      <formula2>0</formula2>
    </dataValidation>
    <dataValidation allowBlank="true" errorStyle="stop" operator="between" showDropDown="false" showErrorMessage="false" showInputMessage="false" sqref="K5:K221" type="list">
      <formula1>'분류 목록'!$E$3:$E$30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10" min="3" style="0" width="11"/>
  </cols>
  <sheetData>
    <row r="1" customFormat="false" ht="19.4" hidden="false" customHeight="false" outlineLevel="0" collapsed="false">
      <c r="B1" s="11" t="s">
        <v>510</v>
      </c>
    </row>
    <row r="3" customFormat="false" ht="15" hidden="false" customHeight="false" outlineLevel="0" collapsed="false">
      <c r="B3" s="12" t="s">
        <v>5</v>
      </c>
      <c r="C3" s="12" t="s">
        <v>39</v>
      </c>
      <c r="D3" s="12" t="s">
        <v>58</v>
      </c>
      <c r="E3" s="12" t="s">
        <v>49</v>
      </c>
      <c r="F3" s="12" t="s">
        <v>277</v>
      </c>
      <c r="G3" s="12" t="s">
        <v>295</v>
      </c>
      <c r="H3" s="12" t="s">
        <v>181</v>
      </c>
      <c r="I3" s="12" t="s">
        <v>18</v>
      </c>
      <c r="J3" s="12" t="s">
        <v>511</v>
      </c>
    </row>
    <row r="4" customFormat="false" ht="15" hidden="false" customHeight="false" outlineLevel="0" collapsed="false">
      <c r="B4" s="13" t="s">
        <v>17</v>
      </c>
      <c r="C4" s="14" t="n">
        <f aca="false">COUNTIFS(업무리스트!$B$8:$B$113,$B4,업무리스트!$C$8:$C$113,"일간")</f>
        <v>2</v>
      </c>
      <c r="D4" s="14" t="n">
        <f aca="false">COUNTIFS(업무리스트!$B$8:$B$113,$B4,업무리스트!$C$8:$C$113,"주간")</f>
        <v>5</v>
      </c>
      <c r="E4" s="14" t="n">
        <f aca="false">COUNTIFS(업무리스트!$B$8:$B$113,$B4,업무리스트!$C$8:$C$113,"월간")+COUNTIFS(업무리스트!$B$8:$B$113,$B4,업무리스트!$C$8:$C$113,"월 정기")</f>
        <v>2</v>
      </c>
      <c r="F4" s="14" t="n">
        <f aca="false">COUNTIFS(업무리스트!$B$8:$B$113,$B4,업무리스트!$C$8:$C$113,"분기별")</f>
        <v>0</v>
      </c>
      <c r="G4" s="14" t="n">
        <f aca="false">COUNTIFS(업무리스트!$B$8:$B$113,$B4,업무리스트!$C$8:$C$113,"연간")</f>
        <v>0</v>
      </c>
      <c r="H4" s="14" t="n">
        <f aca="false">COUNTIFS(업무리스트!$B$8:$B$113,$B4,업무리스트!$C$8:$C$113,"상시")</f>
        <v>0</v>
      </c>
      <c r="I4" s="14" t="n">
        <f aca="false">COUNTIFS(업무리스트!$B$8:$B$113,$B4,업무리스트!$C$8:$C$113,"비정기")</f>
        <v>10</v>
      </c>
      <c r="J4" s="15" t="n">
        <f aca="false">COUNTIF(업무리스트!$B$8:$B$113,$B4)</f>
        <v>20</v>
      </c>
    </row>
    <row r="5" customFormat="false" ht="15" hidden="false" customHeight="false" outlineLevel="0" collapsed="false">
      <c r="B5" s="13" t="s">
        <v>216</v>
      </c>
      <c r="C5" s="14" t="n">
        <f aca="false">COUNTIFS(업무리스트!$B$8:$B$113,$B5,업무리스트!$C$8:$C$113,"일간")</f>
        <v>0</v>
      </c>
      <c r="D5" s="14" t="n">
        <f aca="false">COUNTIFS(업무리스트!$B$8:$B$113,$B5,업무리스트!$C$8:$C$113,"주간")</f>
        <v>2</v>
      </c>
      <c r="E5" s="14" t="n">
        <f aca="false">COUNTIFS(업무리스트!$B$8:$B$113,$B5,업무리스트!$C$8:$C$113,"월간")+COUNTIFS(업무리스트!$B$8:$B$113,$B5,업무리스트!$C$8:$C$113,"월 정기")</f>
        <v>5</v>
      </c>
      <c r="F5" s="14" t="n">
        <f aca="false">COUNTIFS(업무리스트!$B$8:$B$113,$B5,업무리스트!$C$8:$C$113,"분기별")</f>
        <v>0</v>
      </c>
      <c r="G5" s="14" t="n">
        <f aca="false">COUNTIFS(업무리스트!$B$8:$B$113,$B5,업무리스트!$C$8:$C$113,"연간")</f>
        <v>0</v>
      </c>
      <c r="H5" s="14" t="n">
        <f aca="false">COUNTIFS(업무리스트!$B$8:$B$113,$B5,업무리스트!$C$8:$C$113,"상시")</f>
        <v>0</v>
      </c>
      <c r="I5" s="14" t="n">
        <f aca="false">COUNTIFS(업무리스트!$B$8:$B$113,$B5,업무리스트!$C$8:$C$113,"비정기")</f>
        <v>13</v>
      </c>
      <c r="J5" s="15" t="n">
        <f aca="false">COUNTIF(업무리스트!$B$8:$B$113,$B5)</f>
        <v>20</v>
      </c>
    </row>
    <row r="6" customFormat="false" ht="15" hidden="false" customHeight="false" outlineLevel="0" collapsed="false">
      <c r="B6" s="13" t="s">
        <v>143</v>
      </c>
      <c r="C6" s="14" t="n">
        <f aca="false">COUNTIFS(업무리스트!$B$8:$B$113,$B6,업무리스트!$C$8:$C$113,"일간")</f>
        <v>3</v>
      </c>
      <c r="D6" s="14" t="n">
        <f aca="false">COUNTIFS(업무리스트!$B$8:$B$113,$B6,업무리스트!$C$8:$C$113,"주간")</f>
        <v>0</v>
      </c>
      <c r="E6" s="14" t="n">
        <f aca="false">COUNTIFS(업무리스트!$B$8:$B$113,$B6,업무리스트!$C$8:$C$113,"월간")+COUNTIFS(업무리스트!$B$8:$B$113,$B6,업무리스트!$C$8:$C$113,"월 정기")</f>
        <v>2</v>
      </c>
      <c r="F6" s="14" t="n">
        <f aca="false">COUNTIFS(업무리스트!$B$8:$B$113,$B6,업무리스트!$C$8:$C$113,"분기별")</f>
        <v>0</v>
      </c>
      <c r="G6" s="14" t="n">
        <f aca="false">COUNTIFS(업무리스트!$B$8:$B$113,$B6,업무리스트!$C$8:$C$113,"연간")</f>
        <v>0</v>
      </c>
      <c r="H6" s="14" t="n">
        <f aca="false">COUNTIFS(업무리스트!$B$8:$B$113,$B6,업무리스트!$C$8:$C$113,"상시")</f>
        <v>1</v>
      </c>
      <c r="I6" s="14" t="n">
        <f aca="false">COUNTIFS(업무리스트!$B$8:$B$113,$B6,업무리스트!$C$8:$C$113,"비정기")</f>
        <v>14</v>
      </c>
      <c r="J6" s="15" t="n">
        <f aca="false">COUNTIF(업무리스트!$B$8:$B$113,$B6)</f>
        <v>20</v>
      </c>
    </row>
    <row r="7" customFormat="false" ht="15" hidden="false" customHeight="false" outlineLevel="0" collapsed="false">
      <c r="B7" s="13" t="s">
        <v>272</v>
      </c>
      <c r="C7" s="14" t="n">
        <f aca="false">COUNTIFS(업무리스트!$B$8:$B$113,$B7,업무리스트!$C$8:$C$113,"일간")</f>
        <v>1</v>
      </c>
      <c r="D7" s="14" t="n">
        <f aca="false">COUNTIFS(업무리스트!$B$8:$B$113,$B7,업무리스트!$C$8:$C$113,"주간")</f>
        <v>1</v>
      </c>
      <c r="E7" s="14" t="n">
        <f aca="false">COUNTIFS(업무리스트!$B$8:$B$113,$B7,업무리스트!$C$8:$C$113,"월간")+COUNTIFS(업무리스트!$B$8:$B$113,$B7,업무리스트!$C$8:$C$113,"월 정기")</f>
        <v>10</v>
      </c>
      <c r="F7" s="14" t="n">
        <f aca="false">COUNTIFS(업무리스트!$B$8:$B$113,$B7,업무리스트!$C$8:$C$113,"분기별")</f>
        <v>1</v>
      </c>
      <c r="G7" s="14" t="n">
        <f aca="false">COUNTIFS(업무리스트!$B$8:$B$113,$B7,업무리스트!$C$8:$C$113,"연간")</f>
        <v>1</v>
      </c>
      <c r="H7" s="14" t="n">
        <f aca="false">COUNTIFS(업무리스트!$B$8:$B$113,$B7,업무리스트!$C$8:$C$113,"상시")</f>
        <v>0</v>
      </c>
      <c r="I7" s="14" t="n">
        <f aca="false">COUNTIFS(업무리스트!$B$8:$B$113,$B7,업무리스트!$C$8:$C$113,"비정기")</f>
        <v>6</v>
      </c>
      <c r="J7" s="15" t="n">
        <f aca="false">COUNTIF(업무리스트!$B$8:$B$113,$B7)</f>
        <v>20</v>
      </c>
    </row>
    <row r="8" customFormat="false" ht="15" hidden="false" customHeight="false" outlineLevel="0" collapsed="false">
      <c r="B8" s="13" t="s">
        <v>113</v>
      </c>
      <c r="C8" s="14" t="n">
        <f aca="false">COUNTIFS(업무리스트!$B$8:$B$113,$B8,업무리스트!$C$8:$C$113,"일간")</f>
        <v>0</v>
      </c>
      <c r="D8" s="14" t="n">
        <f aca="false">COUNTIFS(업무리스트!$B$8:$B$113,$B8,업무리스트!$C$8:$C$113,"주간")</f>
        <v>1</v>
      </c>
      <c r="E8" s="14" t="n">
        <f aca="false">COUNTIFS(업무리스트!$B$8:$B$113,$B8,업무리스트!$C$8:$C$113,"월간")+COUNTIFS(업무리스트!$B$8:$B$113,$B8,업무리스트!$C$8:$C$113,"월 정기")</f>
        <v>2</v>
      </c>
      <c r="F8" s="14" t="n">
        <f aca="false">COUNTIFS(업무리스트!$B$8:$B$113,$B8,업무리스트!$C$8:$C$113,"분기별")</f>
        <v>0</v>
      </c>
      <c r="G8" s="14" t="n">
        <f aca="false">COUNTIFS(업무리스트!$B$8:$B$113,$B8,업무리스트!$C$8:$C$113,"연간")</f>
        <v>0</v>
      </c>
      <c r="H8" s="14" t="n">
        <f aca="false">COUNTIFS(업무리스트!$B$8:$B$113,$B8,업무리스트!$C$8:$C$113,"상시")</f>
        <v>0</v>
      </c>
      <c r="I8" s="14" t="n">
        <f aca="false">COUNTIFS(업무리스트!$B$8:$B$113,$B8,업무리스트!$C$8:$C$113,"비정기")</f>
        <v>6</v>
      </c>
      <c r="J8" s="15" t="n">
        <f aca="false">COUNTIF(업무리스트!$B$8:$B$113,$B8)</f>
        <v>9</v>
      </c>
    </row>
    <row r="9" customFormat="false" ht="15" hidden="false" customHeight="false" outlineLevel="0" collapsed="false">
      <c r="B9" s="13" t="s">
        <v>206</v>
      </c>
      <c r="C9" s="14" t="n">
        <f aca="false">COUNTIFS(업무리스트!$B$8:$B$113,$B9,업무리스트!$C$8:$C$113,"일간")</f>
        <v>0</v>
      </c>
      <c r="D9" s="14" t="n">
        <f aca="false">COUNTIFS(업무리스트!$B$8:$B$113,$B9,업무리스트!$C$8:$C$113,"주간")</f>
        <v>0</v>
      </c>
      <c r="E9" s="14" t="n">
        <f aca="false">COUNTIFS(업무리스트!$B$8:$B$113,$B9,업무리스트!$C$8:$C$113,"월간")+COUNTIFS(업무리스트!$B$8:$B$113,$B9,업무리스트!$C$8:$C$113,"월 정기")</f>
        <v>1</v>
      </c>
      <c r="F9" s="14" t="n">
        <f aca="false">COUNTIFS(업무리스트!$B$8:$B$113,$B9,업무리스트!$C$8:$C$113,"분기별")</f>
        <v>0</v>
      </c>
      <c r="G9" s="14" t="n">
        <f aca="false">COUNTIFS(업무리스트!$B$8:$B$113,$B9,업무리스트!$C$8:$C$113,"연간")</f>
        <v>0</v>
      </c>
      <c r="H9" s="14" t="n">
        <f aca="false">COUNTIFS(업무리스트!$B$8:$B$113,$B9,업무리스트!$C$8:$C$113,"상시")</f>
        <v>1</v>
      </c>
      <c r="I9" s="14" t="n">
        <f aca="false">COUNTIFS(업무리스트!$B$8:$B$113,$B9,업무리스트!$C$8:$C$113,"비정기")</f>
        <v>0</v>
      </c>
      <c r="J9" s="15" t="n">
        <f aca="false">COUNTIF(업무리스트!$B$8:$B$113,$B9)</f>
        <v>3</v>
      </c>
    </row>
    <row r="10" customFormat="false" ht="15" hidden="false" customHeight="false" outlineLevel="0" collapsed="false">
      <c r="B10" s="13" t="s">
        <v>84</v>
      </c>
      <c r="C10" s="14" t="n">
        <f aca="false">COUNTIFS(업무리스트!$B$8:$B$113,$B10,업무리스트!$C$8:$C$113,"일간")</f>
        <v>0</v>
      </c>
      <c r="D10" s="14" t="n">
        <f aca="false">COUNTIFS(업무리스트!$B$8:$B$113,$B10,업무리스트!$C$8:$C$113,"주간")</f>
        <v>0</v>
      </c>
      <c r="E10" s="14" t="n">
        <f aca="false">COUNTIFS(업무리스트!$B$8:$B$113,$B10,업무리스트!$C$8:$C$113,"월간")+COUNTIFS(업무리스트!$B$8:$B$113,$B10,업무리스트!$C$8:$C$113,"월 정기")</f>
        <v>1</v>
      </c>
      <c r="F10" s="14" t="n">
        <f aca="false">COUNTIFS(업무리스트!$B$8:$B$113,$B10,업무리스트!$C$8:$C$113,"분기별")</f>
        <v>0</v>
      </c>
      <c r="G10" s="14" t="n">
        <f aca="false">COUNTIFS(업무리스트!$B$8:$B$113,$B10,업무리스트!$C$8:$C$113,"연간")</f>
        <v>0</v>
      </c>
      <c r="H10" s="14" t="n">
        <f aca="false">COUNTIFS(업무리스트!$B$8:$B$113,$B10,업무리스트!$C$8:$C$113,"상시")</f>
        <v>0</v>
      </c>
      <c r="I10" s="14" t="n">
        <f aca="false">COUNTIFS(업무리스트!$B$8:$B$113,$B10,업무리스트!$C$8:$C$113,"비정기")</f>
        <v>5</v>
      </c>
      <c r="J10" s="15" t="n">
        <f aca="false">COUNTIF(업무리스트!$B$8:$B$113,$B10)</f>
        <v>6</v>
      </c>
    </row>
    <row r="11" customFormat="false" ht="15" hidden="false" customHeight="false" outlineLevel="0" collapsed="false">
      <c r="B11" s="13" t="s">
        <v>195</v>
      </c>
      <c r="C11" s="14" t="n">
        <f aca="false">COUNTIFS(업무리스트!$B$8:$B$113,$B11,업무리스트!$C$8:$C$113,"일간")</f>
        <v>1</v>
      </c>
      <c r="D11" s="14" t="n">
        <f aca="false">COUNTIFS(업무리스트!$B$8:$B$113,$B11,업무리스트!$C$8:$C$113,"주간")</f>
        <v>0</v>
      </c>
      <c r="E11" s="14" t="n">
        <f aca="false">COUNTIFS(업무리스트!$B$8:$B$113,$B11,업무리스트!$C$8:$C$113,"월간")+COUNTIFS(업무리스트!$B$8:$B$113,$B11,업무리스트!$C$8:$C$113,"월 정기")</f>
        <v>0</v>
      </c>
      <c r="F11" s="14" t="n">
        <f aca="false">COUNTIFS(업무리스트!$B$8:$B$113,$B11,업무리스트!$C$8:$C$113,"분기별")</f>
        <v>0</v>
      </c>
      <c r="G11" s="14" t="n">
        <f aca="false">COUNTIFS(업무리스트!$B$8:$B$113,$B11,업무리스트!$C$8:$C$113,"연간")</f>
        <v>0</v>
      </c>
      <c r="H11" s="14" t="n">
        <f aca="false">COUNTIFS(업무리스트!$B$8:$B$113,$B11,업무리스트!$C$8:$C$113,"상시")</f>
        <v>0</v>
      </c>
      <c r="I11" s="14" t="n">
        <f aca="false">COUNTIFS(업무리스트!$B$8:$B$113,$B11,업무리스트!$C$8:$C$113,"비정기")</f>
        <v>2</v>
      </c>
      <c r="J11" s="15" t="n">
        <f aca="false">COUNTIF(업무리스트!$B$8:$B$113,$B11)</f>
        <v>3</v>
      </c>
    </row>
    <row r="12" customFormat="false" ht="15" hidden="false" customHeight="false" outlineLevel="0" collapsed="false">
      <c r="B12" s="13" t="s">
        <v>99</v>
      </c>
      <c r="C12" s="14" t="n">
        <f aca="false">COUNTIFS(업무리스트!$B$8:$B$113,$B12,업무리스트!$C$8:$C$113,"일간")</f>
        <v>0</v>
      </c>
      <c r="D12" s="14" t="n">
        <f aca="false">COUNTIFS(업무리스트!$B$8:$B$113,$B12,업무리스트!$C$8:$C$113,"주간")</f>
        <v>1</v>
      </c>
      <c r="E12" s="14" t="n">
        <f aca="false">COUNTIFS(업무리스트!$B$8:$B$113,$B12,업무리스트!$C$8:$C$113,"월간")+COUNTIFS(업무리스트!$B$8:$B$113,$B12,업무리스트!$C$8:$C$113,"월 정기")</f>
        <v>1</v>
      </c>
      <c r="F12" s="14" t="n">
        <f aca="false">COUNTIFS(업무리스트!$B$8:$B$113,$B12,업무리스트!$C$8:$C$113,"분기별")</f>
        <v>0</v>
      </c>
      <c r="G12" s="14" t="n">
        <f aca="false">COUNTIFS(업무리스트!$B$8:$B$113,$B12,업무리스트!$C$8:$C$113,"연간")</f>
        <v>0</v>
      </c>
      <c r="H12" s="14" t="n">
        <f aca="false">COUNTIFS(업무리스트!$B$8:$B$113,$B12,업무리스트!$C$8:$C$113,"상시")</f>
        <v>0</v>
      </c>
      <c r="I12" s="14" t="n">
        <f aca="false">COUNTIFS(업무리스트!$B$8:$B$113,$B12,업무리스트!$C$8:$C$113,"비정기")</f>
        <v>3</v>
      </c>
      <c r="J12" s="15" t="n">
        <f aca="false">COUNTIF(업무리스트!$B$8:$B$113,$B12)</f>
        <v>5</v>
      </c>
    </row>
    <row r="13" customFormat="false" ht="15" hidden="false" customHeight="false" outlineLevel="0" collapsed="false">
      <c r="B13" s="16" t="s">
        <v>511</v>
      </c>
      <c r="C13" s="17" t="n">
        <f aca="false">SUM(C4:C12)</f>
        <v>7</v>
      </c>
      <c r="D13" s="17" t="n">
        <f aca="false">SUM(D4:D12)</f>
        <v>10</v>
      </c>
      <c r="E13" s="17" t="n">
        <f aca="false">SUM(E4:E12)</f>
        <v>24</v>
      </c>
      <c r="F13" s="17" t="n">
        <f aca="false">SUM(F4:F12)</f>
        <v>1</v>
      </c>
      <c r="G13" s="17" t="n">
        <f aca="false">SUM(G4:G12)</f>
        <v>1</v>
      </c>
      <c r="H13" s="17" t="n">
        <f aca="false">SUM(H4:H12)</f>
        <v>2</v>
      </c>
      <c r="I13" s="17" t="n">
        <f aca="false">SUM(I4:I12)</f>
        <v>59</v>
      </c>
      <c r="J13" s="17" t="n">
        <f aca="false">SUM(J4:J12)</f>
        <v>106</v>
      </c>
    </row>
    <row r="15" customFormat="false" ht="15" hidden="false" customHeight="false" outlineLevel="0" collapsed="false">
      <c r="B15" s="18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2" style="0" width="18"/>
  </cols>
  <sheetData>
    <row r="1" customFormat="false" ht="15" hidden="false" customHeight="false" outlineLevel="0" collapsed="false">
      <c r="B1" s="2" t="s">
        <v>513</v>
      </c>
    </row>
    <row r="2" customFormat="false" ht="15" hidden="false" customHeight="false" outlineLevel="0" collapsed="false">
      <c r="B2" s="12" t="s">
        <v>5</v>
      </c>
      <c r="C2" s="12" t="s">
        <v>6</v>
      </c>
      <c r="D2" s="12" t="s">
        <v>10</v>
      </c>
      <c r="E2" s="12" t="s">
        <v>14</v>
      </c>
    </row>
    <row r="3" customFormat="false" ht="15" hidden="false" customHeight="false" outlineLevel="0" collapsed="false">
      <c r="B3" s="19" t="s">
        <v>17</v>
      </c>
      <c r="C3" s="19" t="s">
        <v>39</v>
      </c>
      <c r="D3" s="19" t="s">
        <v>363</v>
      </c>
      <c r="E3" s="19" t="s">
        <v>514</v>
      </c>
    </row>
    <row r="4" customFormat="false" ht="15" hidden="false" customHeight="false" outlineLevel="0" collapsed="false">
      <c r="B4" s="19" t="s">
        <v>216</v>
      </c>
      <c r="C4" s="19" t="s">
        <v>58</v>
      </c>
      <c r="D4" s="19" t="s">
        <v>358</v>
      </c>
      <c r="E4" s="19" t="s">
        <v>515</v>
      </c>
    </row>
    <row r="5" customFormat="false" ht="15" hidden="false" customHeight="false" outlineLevel="0" collapsed="false">
      <c r="B5" s="19" t="s">
        <v>143</v>
      </c>
      <c r="C5" s="19" t="s">
        <v>49</v>
      </c>
      <c r="D5" s="19" t="s">
        <v>516</v>
      </c>
      <c r="E5" s="19" t="s">
        <v>517</v>
      </c>
    </row>
    <row r="6" customFormat="false" ht="15" hidden="false" customHeight="false" outlineLevel="0" collapsed="false">
      <c r="B6" s="19" t="s">
        <v>272</v>
      </c>
      <c r="C6" s="19" t="s">
        <v>277</v>
      </c>
      <c r="D6" s="19" t="s">
        <v>374</v>
      </c>
      <c r="E6" s="19" t="s">
        <v>518</v>
      </c>
    </row>
    <row r="7" customFormat="false" ht="15" hidden="false" customHeight="false" outlineLevel="0" collapsed="false">
      <c r="B7" s="19" t="s">
        <v>113</v>
      </c>
      <c r="C7" s="19" t="s">
        <v>295</v>
      </c>
    </row>
    <row r="8" customFormat="false" ht="15" hidden="false" customHeight="false" outlineLevel="0" collapsed="false">
      <c r="B8" s="19" t="s">
        <v>206</v>
      </c>
      <c r="C8" s="19" t="s">
        <v>181</v>
      </c>
    </row>
    <row r="9" customFormat="false" ht="15" hidden="false" customHeight="false" outlineLevel="0" collapsed="false">
      <c r="B9" s="19" t="s">
        <v>84</v>
      </c>
      <c r="C9" s="19" t="s">
        <v>18</v>
      </c>
    </row>
    <row r="10" customFormat="false" ht="15" hidden="false" customHeight="false" outlineLevel="0" collapsed="false">
      <c r="B10" s="19" t="s">
        <v>195</v>
      </c>
      <c r="C10" s="19" t="s">
        <v>519</v>
      </c>
    </row>
    <row r="11" customFormat="false" ht="15" hidden="false" customHeight="false" outlineLevel="0" collapsed="false">
      <c r="B11" s="19" t="s">
        <v>99</v>
      </c>
      <c r="C11" s="19" t="s">
        <v>242</v>
      </c>
    </row>
    <row r="12" customFormat="false" ht="15" hidden="false" customHeight="false" outlineLevel="0" collapsed="false">
      <c r="C12" s="19" t="s">
        <v>213</v>
      </c>
    </row>
    <row r="13" customFormat="false" ht="15" hidden="false" customHeight="false" outlineLevel="0" collapsed="false">
      <c r="C13" s="19" t="s">
        <v>520</v>
      </c>
    </row>
    <row r="14" customFormat="false" ht="15" hidden="false" customHeight="false" outlineLevel="0" collapsed="false">
      <c r="C14" s="19" t="s"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2026-10-15T06:04:09Z</dcterms:created>
  <dc:creator>openpyxl</dc:creator>
  <dc:description/>
  <dc:language>en-US</dc:language>
  <cp:lastModifiedBy/>
  <dcterms:modified xsi:type="dcterms:W3CDTF">2026-10-15T06:04:09Z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